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pivotTables/pivotTable1.xml" ContentType="application/vnd.openxmlformats-officedocument.spreadsheetml.pivotTable+xml"/>
  <Override PartName="/xl/tables/table3.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pivotTables/pivotTable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59a75df9e0374aef" Type="http://schemas.microsoft.com/office/2006/relationships/ui/extensibility" Target="customUI/customUI.xml"/><Relationship Id="Rfe72703968e14a18"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G:\Programming\EngineersTools\WinWriter\"/>
    </mc:Choice>
  </mc:AlternateContent>
  <bookViews>
    <workbookView xWindow="0" yWindow="0" windowWidth="28800" windowHeight="13020" tabRatio="768" firstSheet="1" activeTab="1"/>
  </bookViews>
  <sheets>
    <sheet name="shtDocumentControl" sheetId="16" state="hidden" r:id="rId1"/>
    <sheet name="Work Instructions" sheetId="11" r:id="rId2"/>
    <sheet name="Documents Summary" sheetId="14" r:id="rId3"/>
    <sheet name="Generated Files Log" sheetId="23" r:id="rId4"/>
    <sheet name="Front Page Contents" sheetId="18" r:id="rId5"/>
    <sheet name="Front Page Contents - AIM" sheetId="17" r:id="rId6"/>
    <sheet name="Lists" sheetId="13" r:id="rId7"/>
    <sheet name="Tools, Matls and Eq Summ" sheetId="24" r:id="rId8"/>
  </sheets>
  <functionGroups builtInGroupCount="18"/>
  <externalReferences>
    <externalReference r:id="rId9"/>
  </externalReferences>
  <definedNames>
    <definedName name="_xlnm._FilterDatabase" localSheetId="1" hidden="1">'Work Instructions'!$B$2:$AF$20</definedName>
    <definedName name="AcceptableConditionsFieldName">shtDocumentControl!$D$39</definedName>
    <definedName name="AimContentsArea" localSheetId="7">OFFSET('[1]Front Page Contents - AIM'!$B$2,1,1,COUNTA('[1]Front Page Contents - AIM'!$B:$B),COUNTA('[1]Front Page Contents - AIM'!$2:$2))</definedName>
    <definedName name="AimContentsArea">OFFSET('Front Page Contents - AIM'!$B$2,1,1,COUNTA('Front Page Contents - AIM'!$B:$B),COUNTA('Front Page Contents - AIM'!$2:$2))</definedName>
    <definedName name="AimEquipmentStatusRow" localSheetId="7">OFFSET('[1]Front Page Contents - AIM'!$B$2,0,1,1,COUNTA('[1]Front Page Contents - AIM'!$2:$2))</definedName>
    <definedName name="AimEquipmentStatusRow">OFFSET('Front Page Contents - AIM'!$B$2,0,1,1,COUNTA('Front Page Contents - AIM'!$2:$2))</definedName>
    <definedName name="AimTradeNamesColumn" localSheetId="7">OFFSET('[1]Front Page Contents - AIM'!$B$2,1,0,COUNTA('[1]Front Page Contents - AIM'!$B:$B),1)</definedName>
    <definedName name="AimTradeNamesColumn">OFFSET('Front Page Contents - AIM'!$B$2,1,0,COUNTA('Front Page Contents - AIM'!$B:$B),1)</definedName>
    <definedName name="BundleAcceptableConditionsWithTask">shtDocumentControl!$D$38</definedName>
    <definedName name="Changes" localSheetId="7">OFFSET([1]Lists!$D$2,0,0,COUNTA([1]Lists!$D:$D)-1,1)</definedName>
    <definedName name="Changes">OFFSET(Lists!$D$2,0,0,COUNTA(Lists!$D:$D)-1,1)</definedName>
    <definedName name="ColumnHeadersFieldName">shtDocumentControl!$D$26</definedName>
    <definedName name="Completed" localSheetId="7">OFFSET([1]Lists!$F$2,0,0,COUNTA([1]Lists!$F:$F)-1,1)</definedName>
    <definedName name="Completed">OFFSET(Lists!$F$2,0,0,COUNTA(Lists!$F:$F)-1,1)</definedName>
    <definedName name="ComponentDescriptionFieldName">shtDocumentControl!$D$24</definedName>
    <definedName name="ComponentNumberFieldName">shtDocumentControl!$D$23</definedName>
    <definedName name="ComponentSummaryRange" localSheetId="7">OFFSET(#REF!,0,0,COUNTA(#REF!),3)</definedName>
    <definedName name="ComponentSummaryRange">OFFSET(#REF!,0,0,COUNTA(#REF!),3)</definedName>
    <definedName name="ComponentSummaryRangeName">shtDocumentControl!$D$17</definedName>
    <definedName name="Consequence" localSheetId="7">OFFSET([1]Lists!$A$2,0,0,COUNTA([1]Lists!$A:$A)-1,1)</definedName>
    <definedName name="Consequence">OFFSET(Lists!$A$2,0,0,COUNTA(Lists!$A:$A)-1,1)</definedName>
    <definedName name="DefaultTableWidth">shtDocumentControl!$D$59</definedName>
    <definedName name="DocumentAuthor">shtDocumentControl!$D$40</definedName>
    <definedName name="DocumentConsecutiveStartingNumber">shtDocumentControl!$D$58</definedName>
    <definedName name="DocumentNumberPrefix">shtDocumentControl!$D$54</definedName>
    <definedName name="DocumentNumberSuffix">shtDocumentControl!$D$56</definedName>
    <definedName name="DocumentTitle">shtDocumentControl!$D$11</definedName>
    <definedName name="Equipment_Status" localSheetId="7">OFFSET([1]Lists!$I$2,0,0,COUNTA([1]Lists!$I:$I)-1,1)</definedName>
    <definedName name="Equipment_Status">OFFSET(Lists!$I$2,0,0,COUNTA(Lists!$I:$I)-1,1)</definedName>
    <definedName name="EquipmentName">shtDocumentControl!$D$13</definedName>
    <definedName name="EquipmentNumber">shtDocumentControl!$D$12</definedName>
    <definedName name="EquipmentPhoto">shtDocumentControl!$D$14</definedName>
    <definedName name="EquipmentStatusAbbreviation" localSheetId="7">OFFSET([1]Lists!$I$2,0,0,COUNTA([1]Lists!$I:$I)-1,2)</definedName>
    <definedName name="EquipmentStatusAbbreviation">OFFSET(Lists!$I$2,0,0,COUNTA(Lists!$I:$I)-1,2)</definedName>
    <definedName name="EquipmentStatusFieldName">shtDocumentControl!$D$21</definedName>
    <definedName name="EquipmentStatusOfflineWord">shtDocumentControl!$D$16</definedName>
    <definedName name="EquipmentStatusOnlineWord">shtDocumentControl!$D$15</definedName>
    <definedName name="EquipmentSummaryTableBookmarkName">shtDocumentControl!$D$87</definedName>
    <definedName name="EquipmentSummaryTableHeader1">shtDocumentControl!$D$42</definedName>
    <definedName name="EquipmentSummaryTableHeader2">shtDocumentControl!$D$43</definedName>
    <definedName name="FLOC_From_Access" localSheetId="7">#REF!</definedName>
    <definedName name="FLOC_From_Access">#REF!</definedName>
    <definedName name="FLOC_Part_ID_From_Access" localSheetId="7">#REF!</definedName>
    <definedName name="FLOC_Part_ID_From_Access">#REF!</definedName>
    <definedName name="FolderToSaveFilesTo">shtDocumentControl!$D$52</definedName>
    <definedName name="FrontPageContentTable" localSheetId="7">OFFSET('[1]Front Page Contents'!$B$2,0,1,10,COUNTA('[1]Front Page Contents'!$2:$2)-1)</definedName>
    <definedName name="FrontPageContentTable">OFFSET('Front Page Contents'!$B$2,0,1,10,COUNTA('Front Page Contents'!$2:$2)-1)</definedName>
    <definedName name="FunctionalLocationMarker">shtDocumentControl!$D$98</definedName>
    <definedName name="ImageFolder" localSheetId="7">[1]shtDocumentControl!$D$45</definedName>
    <definedName name="ImageFolder">shtDocumentControl!$D$45</definedName>
    <definedName name="IncludeComponentSummaryTable">shtDocumentControl!$D$61</definedName>
    <definedName name="IncludeDescription">shtDocumentControl!$D$53</definedName>
    <definedName name="IncludeNumberPrefix">shtDocumentControl!$D$55</definedName>
    <definedName name="IncludeNumberSuffix">shtDocumentControl!$D$57</definedName>
    <definedName name="InsertEquipmentNameMarker">shtDocumentControl!$D$96</definedName>
    <definedName name="InsertEquipmentPhotoMarker">shtDocumentControl!$D$97</definedName>
    <definedName name="InsertInstructionMarker">shtDocumentControl!$D$95</definedName>
    <definedName name="InsertTaskNumberOption">shtDocumentControl!$D$60</definedName>
    <definedName name="InTaskPhotoFieldName">shtDocumentControl!$D$29</definedName>
    <definedName name="Interval" localSheetId="7">OFFSET([1]Lists!$K$2,0,0,COUNTA([1]Lists!$K:$K)-1,1)</definedName>
    <definedName name="Interval">OFFSET(Lists!$K$2,0,0,COUNTA(Lists!$K:$K)-1,1)</definedName>
    <definedName name="Interval_Units" localSheetId="7">OFFSET([1]Lists!$L$2,0,0,COUNTA([1]Lists!$L:$L)-1,1)</definedName>
    <definedName name="Interval_Units">OFFSET(Lists!$L$2,0,0,COUNTA(Lists!$L:$L)-1,1)</definedName>
    <definedName name="IntervalFieldName">shtDocumentControl!$D$19</definedName>
    <definedName name="IntervalUnitsAbbreviations" localSheetId="7">OFFSET([1]Lists!$L$2,0,0,COUNTA([1]Lists!$L:$L)-1,2)</definedName>
    <definedName name="IntervalUnitsAbbreviations">OFFSET(Lists!$L$2,0,0,COUNTA(Lists!$L:$L)-1,2)</definedName>
    <definedName name="IntervalUnitsFieldName">shtDocumentControl!$D$20</definedName>
    <definedName name="LogFileCreation">shtDocumentControl!$D$62</definedName>
    <definedName name="ManualsFolder" localSheetId="7">[1]shtDocumentControl!$D$41</definedName>
    <definedName name="ManualsFolder">shtDocumentControl!$D$41</definedName>
    <definedName name="PhotoHeight">shtDocumentControl!$D$46</definedName>
    <definedName name="PivotTableName">shtDocumentControl!$D$18</definedName>
    <definedName name="PMBlankTableBlockName">shtDocumentControl!$D$92</definedName>
    <definedName name="PMDocumentTitleBookmarkName">shtDocumentControl!$D$64</definedName>
    <definedName name="PMEquipmentNumberBookmarkName">shtDocumentControl!$D$69</definedName>
    <definedName name="PMEquipmentStatusBookmarkName">shtDocumentControl!$D$68</definedName>
    <definedName name="PMEquipmentSummaryTableBlockName">shtDocumentControl!$D$93</definedName>
    <definedName name="PMFrontPageAimBookmarkName">shtDocumentControl!$D$73</definedName>
    <definedName name="PMFrontPageBlankBlockName">shtDocumentControl!$D$91</definedName>
    <definedName name="PMFrontPageHazardsAndSafetyNotesBookmarkName">shtDocumentControl!$D$79</definedName>
    <definedName name="PMFrontPageInstructionsBookmarkName">shtDocumentControl!$D$74</definedName>
    <definedName name="PMFrontPageLocationBookmarkName">shtDocumentControl!$D$75</definedName>
    <definedName name="PMFrontPageOtherSafetyEquipmentBookmarkName">shtDocumentControl!$D$78</definedName>
    <definedName name="PMFrontPagePartsAndMaterialsBookmarkName">shtDocumentControl!$D$81</definedName>
    <definedName name="PMFrontPagePermitsAndIsolationsBookmarkName">shtDocumentControl!$D$76</definedName>
    <definedName name="PMFrontPagePhotoBookmarkName">shtDocumentControl!$D$72</definedName>
    <definedName name="PMFrontPagePPEBookmarkName">shtDocumentControl!$D$77</definedName>
    <definedName name="PMFrontPageReferencesBookmarkName">shtDocumentControl!$D$83</definedName>
    <definedName name="PMFrontPageResourcesBookmarkName">shtDocumentControl!$D$84</definedName>
    <definedName name="PMFrontPageSectionBookmarkName">shtDocumentControl!$D$71</definedName>
    <definedName name="PMFrontPageSpecialNotesBookmarkName">shtDocumentControl!$D$82</definedName>
    <definedName name="PMFrontPageToolsBookmarkName">shtDocumentControl!$D$80</definedName>
    <definedName name="PMInstructionBlockName">shtDocumentControl!$D$89</definedName>
    <definedName name="PMInstructionTasksOnlyBlockName">shtDocumentControl!$D$90</definedName>
    <definedName name="PMIntervalBookmarkName">shtDocumentControl!$D$66</definedName>
    <definedName name="PMIntervalUnitBookmarkName">shtDocumentControl!$D$67</definedName>
    <definedName name="PMRESDAuthorBookmarkName">shtDocumentControl!$D$86</definedName>
    <definedName name="PMSectionBookmarkName">shtDocumentControl!$D$85</definedName>
    <definedName name="PMSiteOrAreaBookmarkName">shtDocumentControl!$D$65</definedName>
    <definedName name="PMTemplateName">shtDocumentControl!$D$51</definedName>
    <definedName name="PMTradeBookmarkName">shtDocumentControl!$D$70</definedName>
    <definedName name="_xlnm.Print_Area" localSheetId="2">OFFSET('Documents Summary'!$B2:$O2,,,'Documents Summary'!$A$1-1)</definedName>
    <definedName name="_xlnm.Print_Titles" localSheetId="2">'Documents Summary'!$3:$3</definedName>
    <definedName name="_xlnm.Print_Titles" localSheetId="1">'Work Instructions'!$2:$2</definedName>
    <definedName name="RESDAuthor">shtDocumentControl!$D$40</definedName>
    <definedName name="rngAPP_NAME">shtDocumentControl!$D$4</definedName>
    <definedName name="rngAPP_VERSION">shtDocumentControl!$D$5</definedName>
    <definedName name="rngAUTHOR">shtDocumentControl!$D$7</definedName>
    <definedName name="rngDATE_LAST_CHANGE">shtDocumentControl!$D$6</definedName>
    <definedName name="rngDEBUG">shtDocumentControl!$D$9</definedName>
    <definedName name="rngEMAIL">shtDocumentControl!$D$8</definedName>
    <definedName name="RowHeadersFieldName">shtDocumentControl!$D$25</definedName>
    <definedName name="ScreenUpdatingOption">shtDocumentControl!$D$49</definedName>
    <definedName name="Task_Type" localSheetId="7">OFFSET([1]Lists!$E$2,0,0,COUNTA([1]Lists!$E:$E)-1,1)</definedName>
    <definedName name="Task_Type">OFFSET(Lists!$E$2,0,0,COUNTA(Lists!$E:$E)-1,1)</definedName>
    <definedName name="TaskFieldName">shtDocumentControl!$D$27</definedName>
    <definedName name="TaskMaterialsFieldName">shtDocumentControl!$D$32</definedName>
    <definedName name="TaskPhotoFieldName">shtDocumentControl!$D$28</definedName>
    <definedName name="TaskPhotoHeight">shtDocumentControl!$D$47</definedName>
    <definedName name="TaskSafetyWarningLabelFieldName">shtDocumentControl!$D$30</definedName>
    <definedName name="TaskSpecialHazardsFieldName">shtDocumentControl!$D$36</definedName>
    <definedName name="TaskSpecialNotesFieldName">shtDocumentControl!$D$33</definedName>
    <definedName name="TaskSpecialPermitsFieldName">shtDocumentControl!$D$34</definedName>
    <definedName name="TaskSpecialPPEFieldName">shtDocumentControl!$D$35</definedName>
    <definedName name="TaskSpecialReferencesFieldName">shtDocumentControl!$D$37</definedName>
    <definedName name="TaskToolsFieldName">shtDocumentControl!$D$31</definedName>
    <definedName name="Trade" localSheetId="7">OFFSET([1]Lists!$B$2,0,0,COUNTA([1]Lists!$B:$B)-1,1)</definedName>
    <definedName name="Trade">OFFSET(Lists!$B$2,0,0,COUNTA(Lists!$B:$B)-1,1)</definedName>
    <definedName name="TradeAbbreviations" localSheetId="7">OFFSET([1]Lists!$B$2,0,0,COUNTA([1]Lists!$B:$B)-1,2)</definedName>
    <definedName name="TradeAbbreviations">OFFSET(Lists!$B$2,0,0,COUNTA(Lists!$B:$B)-1,2)</definedName>
    <definedName name="TradeFieldName">shtDocumentControl!$D$22</definedName>
    <definedName name="WarningSafetyLabel" localSheetId="7">OFFSET([1]Lists!$G$2,0,0,COUNTA([1]Lists!$G:$G)-1,1)</definedName>
    <definedName name="WarningSafetyLabel">OFFSET(Lists!$G$2,0,0,COUNTA(Lists!$G:$G)-1,1)</definedName>
  </definedNames>
  <calcPr calcId="152511"/>
  <pivotCaches>
    <pivotCache cacheId="24" r:id="rId10"/>
  </pivotCaches>
</workbook>
</file>

<file path=xl/calcChain.xml><?xml version="1.0" encoding="utf-8"?>
<calcChain xmlns="http://schemas.openxmlformats.org/spreadsheetml/2006/main">
  <c r="E3" i="23" l="1"/>
  <c r="D3" i="23"/>
  <c r="A3" i="23"/>
  <c r="E2" i="23"/>
  <c r="D2" i="23"/>
  <c r="A2" i="23"/>
  <c r="R9" i="11"/>
  <c r="R8" i="11"/>
  <c r="U11" i="11" l="1"/>
  <c r="U12" i="11"/>
  <c r="U7" i="11"/>
  <c r="T8" i="11" l="1"/>
  <c r="U8" i="11"/>
  <c r="U15" i="11"/>
  <c r="U10" i="11"/>
  <c r="U19" i="11"/>
  <c r="U20" i="11"/>
  <c r="B20" i="11"/>
  <c r="AD20" i="11"/>
  <c r="B19" i="11" l="1"/>
  <c r="AD19" i="11"/>
  <c r="B17" i="11"/>
  <c r="B18" i="11"/>
  <c r="AD17" i="11"/>
  <c r="AD18" i="11"/>
  <c r="B15" i="11"/>
  <c r="B16" i="11"/>
  <c r="AD15" i="11"/>
  <c r="AD16" i="11"/>
  <c r="B13" i="11"/>
  <c r="B14" i="11"/>
  <c r="AD13" i="11"/>
  <c r="AD14" i="11"/>
  <c r="AD3" i="11" l="1"/>
  <c r="AD4" i="11"/>
  <c r="AD5" i="11"/>
  <c r="AD6" i="11"/>
  <c r="AD7" i="11"/>
  <c r="AD8" i="11"/>
  <c r="AD9" i="11"/>
  <c r="AD10" i="11"/>
  <c r="AD11" i="11"/>
  <c r="AD12" i="11"/>
  <c r="B3" i="11" l="1"/>
  <c r="B4" i="11"/>
  <c r="B5" i="11"/>
  <c r="B6" i="11"/>
  <c r="B7" i="11"/>
  <c r="B8" i="11"/>
  <c r="B9" i="11"/>
  <c r="B10" i="11"/>
  <c r="B11" i="11"/>
  <c r="B12" i="11"/>
  <c r="A1" i="14" l="1"/>
  <c r="C2" i="18" l="1" a="1"/>
  <c r="H2" i="18" s="1"/>
  <c r="B3" i="17" a="1"/>
  <c r="B4" i="17" s="1"/>
  <c r="C2" i="17" a="1"/>
  <c r="D2" i="17" s="1"/>
  <c r="D4" i="17" l="1"/>
  <c r="C2" i="18"/>
  <c r="E2" i="18"/>
  <c r="G2" i="18"/>
  <c r="F2" i="18"/>
  <c r="D2" i="18"/>
  <c r="B19" i="17"/>
  <c r="B15" i="17"/>
  <c r="B11" i="17"/>
  <c r="B7" i="17"/>
  <c r="B3" i="17"/>
  <c r="B22" i="17"/>
  <c r="B18" i="17"/>
  <c r="B14" i="17"/>
  <c r="B10" i="17"/>
  <c r="B6" i="17"/>
  <c r="B21" i="17"/>
  <c r="B17" i="17"/>
  <c r="B13" i="17"/>
  <c r="B9" i="17"/>
  <c r="B5" i="17"/>
  <c r="B20" i="17"/>
  <c r="B16" i="17"/>
  <c r="B12" i="17"/>
  <c r="B8" i="17"/>
  <c r="C2" i="17"/>
  <c r="C4" i="17" s="1"/>
  <c r="G2" i="17"/>
  <c r="G4" i="17" s="1"/>
  <c r="F2" i="17"/>
  <c r="F4" i="17" s="1"/>
  <c r="E2" i="17"/>
  <c r="E4" i="17" s="1"/>
  <c r="H2" i="17"/>
  <c r="H4" i="17" s="1"/>
  <c r="H8" i="17" l="1"/>
  <c r="D8" i="17"/>
  <c r="G8" i="17"/>
  <c r="F8" i="17"/>
  <c r="E8" i="17"/>
  <c r="G5" i="17"/>
  <c r="F5" i="17"/>
  <c r="E5" i="17"/>
  <c r="H5" i="17"/>
  <c r="D5" i="17"/>
  <c r="G21" i="17"/>
  <c r="F21" i="17"/>
  <c r="E21" i="17"/>
  <c r="H21" i="17"/>
  <c r="D21" i="17"/>
  <c r="F18" i="17"/>
  <c r="E18" i="17"/>
  <c r="H18" i="17"/>
  <c r="D18" i="17"/>
  <c r="G18" i="17"/>
  <c r="E11" i="17"/>
  <c r="H11" i="17"/>
  <c r="D11" i="17"/>
  <c r="G11" i="17"/>
  <c r="F11" i="17"/>
  <c r="H12" i="17"/>
  <c r="D12" i="17"/>
  <c r="G12" i="17"/>
  <c r="F12" i="17"/>
  <c r="E12" i="17"/>
  <c r="G9" i="17"/>
  <c r="F9" i="17"/>
  <c r="E9" i="17"/>
  <c r="H9" i="17"/>
  <c r="D9" i="17"/>
  <c r="F6" i="17"/>
  <c r="E6" i="17"/>
  <c r="H6" i="17"/>
  <c r="D6" i="17"/>
  <c r="G6" i="17"/>
  <c r="F22" i="17"/>
  <c r="E22" i="17"/>
  <c r="H22" i="17"/>
  <c r="D22" i="17"/>
  <c r="G22" i="17"/>
  <c r="E15" i="17"/>
  <c r="H15" i="17"/>
  <c r="D15" i="17"/>
  <c r="G15" i="17"/>
  <c r="F15" i="17"/>
  <c r="H16" i="17"/>
  <c r="D16" i="17"/>
  <c r="G16" i="17"/>
  <c r="F16" i="17"/>
  <c r="E16" i="17"/>
  <c r="G13" i="17"/>
  <c r="F13" i="17"/>
  <c r="E13" i="17"/>
  <c r="D13" i="17"/>
  <c r="H13" i="17"/>
  <c r="F10" i="17"/>
  <c r="E10" i="17"/>
  <c r="H10" i="17"/>
  <c r="D10" i="17"/>
  <c r="G10" i="17"/>
  <c r="E3" i="17"/>
  <c r="H3" i="17"/>
  <c r="D3" i="17"/>
  <c r="G3" i="17"/>
  <c r="F3" i="17"/>
  <c r="E19" i="17"/>
  <c r="H19" i="17"/>
  <c r="D19" i="17"/>
  <c r="G19" i="17"/>
  <c r="F19" i="17"/>
  <c r="H20" i="17"/>
  <c r="D20" i="17"/>
  <c r="G20" i="17"/>
  <c r="F20" i="17"/>
  <c r="E20" i="17"/>
  <c r="G17" i="17"/>
  <c r="F17" i="17"/>
  <c r="E17" i="17"/>
  <c r="H17" i="17"/>
  <c r="D17" i="17"/>
  <c r="F14" i="17"/>
  <c r="E14" i="17"/>
  <c r="H14" i="17"/>
  <c r="D14" i="17"/>
  <c r="G14" i="17"/>
  <c r="E7" i="17"/>
  <c r="H7" i="17"/>
  <c r="D7" i="17"/>
  <c r="G7" i="17"/>
  <c r="F7" i="17"/>
  <c r="C20" i="17"/>
  <c r="C17" i="17"/>
  <c r="C14" i="17"/>
  <c r="C7" i="17"/>
  <c r="C8" i="17"/>
  <c r="C5" i="17"/>
  <c r="C21" i="17"/>
  <c r="C18" i="17"/>
  <c r="C11" i="17"/>
  <c r="C12" i="17"/>
  <c r="C9" i="17"/>
  <c r="C6" i="17"/>
  <c r="C22" i="17"/>
  <c r="C15" i="17"/>
  <c r="C16" i="17"/>
  <c r="C13" i="17"/>
  <c r="C10" i="17"/>
  <c r="C3" i="17"/>
  <c r="C19" i="17"/>
</calcChain>
</file>

<file path=xl/comments1.xml><?xml version="1.0" encoding="utf-8"?>
<comments xmlns="http://schemas.openxmlformats.org/spreadsheetml/2006/main">
  <authors>
    <author>Carlos Gamez</author>
  </authors>
  <commentList>
    <comment ref="C53" authorId="0" shapeId="0">
      <text>
        <r>
          <rPr>
            <b/>
            <sz val="9"/>
            <color indexed="81"/>
            <rFont val="Tahoma"/>
            <family val="2"/>
          </rPr>
          <t>Carlos Gamez:</t>
        </r>
        <r>
          <rPr>
            <sz val="9"/>
            <color indexed="81"/>
            <rFont val="Tahoma"/>
            <family val="2"/>
          </rPr>
          <t xml:space="preserve">
1 =&gt; DocumentNumber - DocumentDescription
2 =&gt; DocumentNumber
3 =&gt; DocumentDescription
4 =&gt; Table Field (a field from the RESD Summary pivot table and selectable by the user)
</t>
        </r>
        <r>
          <rPr>
            <b/>
            <sz val="9"/>
            <color indexed="81"/>
            <rFont val="Tahoma"/>
            <family val="2"/>
          </rPr>
          <t>DocumentNumber</t>
        </r>
        <r>
          <rPr>
            <sz val="9"/>
            <color indexed="81"/>
            <rFont val="Tahoma"/>
            <family val="2"/>
          </rPr>
          <t xml:space="preserve"> =&gt; "Prefix-[EquipmentNumber]-[IntervalNumber]-[IntervalUnitAbbreviation]-[TradeAbbreviation]-[EquipmentStatusAbbreviation]-[Suffix]-[ConsecutiveNumber]"
</t>
        </r>
        <r>
          <rPr>
            <b/>
            <sz val="9"/>
            <color indexed="81"/>
            <rFont val="Tahoma"/>
            <family val="2"/>
          </rPr>
          <t>DocumentDescription</t>
        </r>
        <r>
          <rPr>
            <sz val="9"/>
            <color indexed="81"/>
            <rFont val="Tahoma"/>
            <family val="2"/>
          </rPr>
          <t xml:space="preserve"> =&gt; "[EquipmentName] [Interval] [Unit] [Trade] [EquipmentStatus] Inspection"</t>
        </r>
      </text>
    </comment>
  </commentList>
</comments>
</file>

<file path=xl/comments2.xml><?xml version="1.0" encoding="utf-8"?>
<comments xmlns="http://schemas.openxmlformats.org/spreadsheetml/2006/main">
  <authors>
    <author>Carlos Gamez</author>
  </authors>
  <commentList>
    <comment ref="B2" authorId="0" shapeId="0">
      <text>
        <r>
          <rPr>
            <b/>
            <sz val="9"/>
            <color indexed="81"/>
            <rFont val="Tahoma"/>
            <family val="2"/>
          </rPr>
          <t>Carlos Gamez:</t>
        </r>
        <r>
          <rPr>
            <sz val="9"/>
            <color indexed="81"/>
            <rFont val="Tahoma"/>
            <family val="2"/>
          </rPr>
          <t xml:space="preserve">
Instructions and notes you want to appear in the front page depending on the Equipment Status</t>
        </r>
      </text>
    </comment>
  </commentList>
</comments>
</file>

<file path=xl/comments3.xml><?xml version="1.0" encoding="utf-8"?>
<comments xmlns="http://schemas.openxmlformats.org/spreadsheetml/2006/main">
  <authors>
    <author>Carlos Gamez</author>
  </authors>
  <commentList>
    <comment ref="B2" authorId="0" shapeId="0">
      <text>
        <r>
          <rPr>
            <b/>
            <sz val="9"/>
            <color indexed="81"/>
            <rFont val="Tahoma"/>
            <family val="2"/>
          </rPr>
          <t>Carlos Gamez:</t>
        </r>
        <r>
          <rPr>
            <sz val="9"/>
            <color indexed="81"/>
            <rFont val="Tahoma"/>
            <family val="2"/>
          </rPr>
          <t xml:space="preserve">
Content you would like to insert in the "AIM" field on the front page depending on Trade and Equipment Status</t>
        </r>
      </text>
    </comment>
  </commentList>
</comments>
</file>

<file path=xl/sharedStrings.xml><?xml version="1.0" encoding="utf-8"?>
<sst xmlns="http://schemas.openxmlformats.org/spreadsheetml/2006/main" count="835" uniqueCount="330">
  <si>
    <t>Consequence</t>
  </si>
  <si>
    <t>Manning</t>
  </si>
  <si>
    <t>Task</t>
  </si>
  <si>
    <t>ID</t>
  </si>
  <si>
    <t>Task Changes</t>
  </si>
  <si>
    <t>Task Type</t>
  </si>
  <si>
    <t>No Task Changes</t>
  </si>
  <si>
    <t>Improve Task Description</t>
  </si>
  <si>
    <t>Changed Discipline</t>
  </si>
  <si>
    <t>New Task created</t>
  </si>
  <si>
    <t>Reduce Frequency</t>
  </si>
  <si>
    <t>Online</t>
  </si>
  <si>
    <t>Offline</t>
  </si>
  <si>
    <t>Delete Task</t>
  </si>
  <si>
    <t>Trade</t>
  </si>
  <si>
    <t>Changes</t>
  </si>
  <si>
    <t>Completed</t>
  </si>
  <si>
    <t>Equip Status</t>
  </si>
  <si>
    <t>Interval</t>
  </si>
  <si>
    <t>Interval Units</t>
  </si>
  <si>
    <t>Condition Monitoring</t>
  </si>
  <si>
    <t>Yes</t>
  </si>
  <si>
    <t>Days</t>
  </si>
  <si>
    <t>Fixed Interval</t>
  </si>
  <si>
    <t>No</t>
  </si>
  <si>
    <t>Weeks</t>
  </si>
  <si>
    <t>Operational</t>
  </si>
  <si>
    <t>Engineering</t>
  </si>
  <si>
    <t>Failure Finding</t>
  </si>
  <si>
    <t>Test Mode</t>
  </si>
  <si>
    <t>Months</t>
  </si>
  <si>
    <t>Non-Operational</t>
  </si>
  <si>
    <t>Instrumentation</t>
  </si>
  <si>
    <t>Duplicate Task</t>
  </si>
  <si>
    <t>Modification</t>
  </si>
  <si>
    <t>Years</t>
  </si>
  <si>
    <t>Lubrication</t>
  </si>
  <si>
    <t>Not Applicable</t>
  </si>
  <si>
    <t>Increase Frequency</t>
  </si>
  <si>
    <t>Equipment Status</t>
  </si>
  <si>
    <t>Environmental</t>
  </si>
  <si>
    <t>Grand Total</t>
  </si>
  <si>
    <t>Count of ID</t>
  </si>
  <si>
    <t>Safety</t>
  </si>
  <si>
    <t>Total</t>
  </si>
  <si>
    <t>Equipment Number</t>
  </si>
  <si>
    <t>Equipment Name</t>
  </si>
  <si>
    <t>Equipment Photo</t>
  </si>
  <si>
    <t>Template Name</t>
  </si>
  <si>
    <t>Equipment Online Word</t>
  </si>
  <si>
    <t>Equipment Offline Word</t>
  </si>
  <si>
    <t>FRONT_PAGE</t>
  </si>
  <si>
    <t>Save Generated Files To  Folder</t>
  </si>
  <si>
    <t>Setting Name</t>
  </si>
  <si>
    <t>Setting Value</t>
  </si>
  <si>
    <t>DAY</t>
  </si>
  <si>
    <t>WK</t>
  </si>
  <si>
    <t>MTH</t>
  </si>
  <si>
    <t>YR</t>
  </si>
  <si>
    <t>ON</t>
  </si>
  <si>
    <t>OFF</t>
  </si>
  <si>
    <t>Document Number Suffix</t>
  </si>
  <si>
    <t>TM</t>
  </si>
  <si>
    <t>Eq Stat Abbrev</t>
  </si>
  <si>
    <t>Interval Units Abbrev</t>
  </si>
  <si>
    <t>Trade Abbreviation</t>
  </si>
  <si>
    <t>CM</t>
  </si>
  <si>
    <t>ENG</t>
  </si>
  <si>
    <t>INS</t>
  </si>
  <si>
    <t>OPS</t>
  </si>
  <si>
    <t>Document Consecutive Starting Number</t>
  </si>
  <si>
    <t>FRONT_PAGE_PHOTO</t>
  </si>
  <si>
    <t>Tools</t>
  </si>
  <si>
    <t>Materials</t>
  </si>
  <si>
    <t>Special Notes</t>
  </si>
  <si>
    <t>Photo</t>
  </si>
  <si>
    <t>Component Summary Range Name</t>
  </si>
  <si>
    <t>ComponentSummaryRange</t>
  </si>
  <si>
    <t>Screen Updating Option</t>
  </si>
  <si>
    <t>Settings Category</t>
  </si>
  <si>
    <t>Document Number Prefix</t>
  </si>
  <si>
    <t>Images</t>
  </si>
  <si>
    <t>AIM</t>
  </si>
  <si>
    <t>INSTRUCTIONS</t>
  </si>
  <si>
    <t>LOCATION</t>
  </si>
  <si>
    <t>PERMITS_AND_ISOLATIONS</t>
  </si>
  <si>
    <t>PPE</t>
  </si>
  <si>
    <t>TOOLS</t>
  </si>
  <si>
    <t>SPECIAL_NOTES</t>
  </si>
  <si>
    <t>OTHER_SAFETY_EQUIPMENT</t>
  </si>
  <si>
    <t>Resources</t>
  </si>
  <si>
    <t>REFERENCES</t>
  </si>
  <si>
    <t>RESOURCES</t>
  </si>
  <si>
    <t>Aim</t>
  </si>
  <si>
    <t>Instructions</t>
  </si>
  <si>
    <t>Location</t>
  </si>
  <si>
    <t>Permits and Isolations</t>
  </si>
  <si>
    <t>Other Safety Equipment</t>
  </si>
  <si>
    <t>Hazards and Safety Notes</t>
  </si>
  <si>
    <t>Parts and Materials</t>
  </si>
  <si>
    <t>References</t>
  </si>
  <si>
    <t>Front Page Section</t>
  </si>
  <si>
    <t>Word Document - File Options</t>
  </si>
  <si>
    <t>Word Document - Block Names</t>
  </si>
  <si>
    <t>Word Document - Markers</t>
  </si>
  <si>
    <t>Word Application Options</t>
  </si>
  <si>
    <t>Document Title</t>
  </si>
  <si>
    <t>Instruction</t>
  </si>
  <si>
    <t>Front Page Blank</t>
  </si>
  <si>
    <t>Insert Instruction</t>
  </si>
  <si>
    <t>Insert Equipment Name</t>
  </si>
  <si>
    <t>Insert Equipment Photo</t>
  </si>
  <si>
    <t>Word Document - Bookmarks</t>
  </si>
  <si>
    <t>AIM TABLE</t>
  </si>
  <si>
    <t>FRONT PAGE TABLE</t>
  </si>
  <si>
    <t>PERMITS AND ISOLATIONS</t>
  </si>
  <si>
    <t>HAZARDS AND SAFETY NOTES</t>
  </si>
  <si>
    <t>OTHER SAFETY EQUIPMENT</t>
  </si>
  <si>
    <t>(blank)</t>
  </si>
  <si>
    <t>Insert Functional Location</t>
  </si>
  <si>
    <t>220</t>
  </si>
  <si>
    <t>Include Number Prefix</t>
  </si>
  <si>
    <t>Include Number Suffix</t>
  </si>
  <si>
    <t>File Naming Option</t>
  </si>
  <si>
    <t>Site or Area</t>
  </si>
  <si>
    <t>Interval Unit</t>
  </si>
  <si>
    <t>Main Equipment Number</t>
  </si>
  <si>
    <t>SITE_OR_AREA</t>
  </si>
  <si>
    <t>EQUIPMENT_STATUS</t>
  </si>
  <si>
    <t>Task Sequence</t>
  </si>
  <si>
    <t>Special Permits</t>
  </si>
  <si>
    <t>Special PPE</t>
  </si>
  <si>
    <t>Special Hazards</t>
  </si>
  <si>
    <t>One Instance</t>
  </si>
  <si>
    <t>Standard Site PPE</t>
  </si>
  <si>
    <t>Operating Machinery, Moving Parts, Pinch Points, Electrocution, Tripping &amp; Slipping Hazards, Ergonomic Issues</t>
  </si>
  <si>
    <t>Pinch Points, Tripping &amp; Slipping Hazards, Ergonomic Issues</t>
  </si>
  <si>
    <t>ONE INST</t>
  </si>
  <si>
    <t>During Operation</t>
  </si>
  <si>
    <t>Row Headers</t>
  </si>
  <si>
    <t>Column Headers</t>
  </si>
  <si>
    <t>Blank Table</t>
  </si>
  <si>
    <t>BLANK_TABLE</t>
  </si>
  <si>
    <t>Instruction (Tasks Only)</t>
  </si>
  <si>
    <t>Application</t>
  </si>
  <si>
    <t>Application Name</t>
  </si>
  <si>
    <t>Application Version</t>
  </si>
  <si>
    <t>Financial</t>
  </si>
  <si>
    <t>Date of Latest Change</t>
  </si>
  <si>
    <t>Man-hours</t>
  </si>
  <si>
    <t>1</t>
  </si>
  <si>
    <t>File Name</t>
  </si>
  <si>
    <t>Generated on</t>
  </si>
  <si>
    <t>Generated by</t>
  </si>
  <si>
    <t>Saved to</t>
  </si>
  <si>
    <t>Template</t>
  </si>
  <si>
    <t>Manuals Folder</t>
  </si>
  <si>
    <t>Author's Email</t>
  </si>
  <si>
    <t>Debuging Mode?</t>
  </si>
  <si>
    <t>Carlos Gamez</t>
  </si>
  <si>
    <t>False</t>
  </si>
  <si>
    <t>In-task Photo</t>
  </si>
  <si>
    <t>Top Photo</t>
  </si>
  <si>
    <t>Safety Warning Label</t>
  </si>
  <si>
    <t>Warning Safety Label</t>
  </si>
  <si>
    <t>Default Table Width (pts)</t>
  </si>
  <si>
    <t>Top Summary Table Header 1</t>
  </si>
  <si>
    <t>Top Summary Table Header 2</t>
  </si>
  <si>
    <t>Top Summary Table</t>
  </si>
  <si>
    <t>COMPONENT_SUMMARY_TABLE</t>
  </si>
  <si>
    <t>Hours</t>
  </si>
  <si>
    <t>Task Duration (hrs)</t>
  </si>
  <si>
    <t>HRS</t>
  </si>
  <si>
    <t>Job Hazard Assessment or Safety Risk Assessment
Always make sure your supervisor knows where you are working or what equipment you are servicing</t>
  </si>
  <si>
    <t>Job Hazard Assessment or Safety Risk Assessment.
Refer to site Lock-Out/Tag-Out and Isolation Procedures. Always make sure that all energy sources have been controlled, released and isolated before starting work on the equipment.
Always make sure your supervisor knows where you are working or what equipment you are servicing.</t>
  </si>
  <si>
    <t>Cycles</t>
  </si>
  <si>
    <t>Default Photo Height (pts) - Doc Front Page &amp; Task Table</t>
  </si>
  <si>
    <t>Default Photo Height (pts) - Task Photo</t>
  </si>
  <si>
    <t>80</t>
  </si>
  <si>
    <t>Application Developer</t>
  </si>
  <si>
    <t>Bundle Acceptable Conditions with Task</t>
  </si>
  <si>
    <t>SITE OR AREA</t>
  </si>
  <si>
    <t>Insert Task Number Option</t>
  </si>
  <si>
    <t>Include Top Component Summary Table Option</t>
  </si>
  <si>
    <t>Top Summary Table Bookmark</t>
  </si>
  <si>
    <t>18.7</t>
  </si>
  <si>
    <t>Log File Creation</t>
  </si>
  <si>
    <t>Equipment Description</t>
  </si>
  <si>
    <t>Mechanical</t>
  </si>
  <si>
    <t>Electrical</t>
  </si>
  <si>
    <t>Operators</t>
  </si>
  <si>
    <t>LUB</t>
  </si>
  <si>
    <t>ELE</t>
  </si>
  <si>
    <t>MECH</t>
  </si>
  <si>
    <t>CYC</t>
  </si>
  <si>
    <t>Comments / Justification</t>
  </si>
  <si>
    <t>warning.png</t>
  </si>
  <si>
    <t>caution.png</t>
  </si>
  <si>
    <t>Manual References</t>
  </si>
  <si>
    <t>Document Author</t>
  </si>
  <si>
    <t>Work Instruction Writer</t>
  </si>
  <si>
    <t>Work Instruction Title</t>
  </si>
  <si>
    <t>HAZARDS</t>
  </si>
  <si>
    <t>MATERIALS</t>
  </si>
  <si>
    <t>AUTHOR</t>
  </si>
  <si>
    <t>WORK_INSTRUCTION_TITLE</t>
  </si>
  <si>
    <t>Test Technician</t>
  </si>
  <si>
    <t>&lt;TASK&gt;</t>
  </si>
  <si>
    <t>&lt;EQUIPMENT PHOTO&gt;</t>
  </si>
  <si>
    <t>The tasks listed in this document are to be carried out while the equipment is online.
WARNING: Never touch moving or energized equipment.</t>
  </si>
  <si>
    <t>The tasks listed in this document are to be carried out while the equipment is offline.</t>
  </si>
  <si>
    <t>Step</t>
  </si>
  <si>
    <t>Step Description</t>
  </si>
  <si>
    <t>&lt;STEP&gt;</t>
  </si>
  <si>
    <t>&lt;STEP_DESCRIPTION&gt;</t>
  </si>
  <si>
    <t>WI_TABLE</t>
  </si>
  <si>
    <t>WI_SECTION_BOOKMARK</t>
  </si>
  <si>
    <t>TasksSummary</t>
  </si>
  <si>
    <t>carlos.gamez@engineers.tools</t>
  </si>
  <si>
    <t>4.0</t>
  </si>
  <si>
    <t>ImageFolder</t>
  </si>
  <si>
    <t>Pivot Table Name</t>
  </si>
  <si>
    <t>Interval Field Name</t>
  </si>
  <si>
    <t>Interval Units Field Name</t>
  </si>
  <si>
    <t>Equipment Status Field Name</t>
  </si>
  <si>
    <t>Trade Field Name</t>
  </si>
  <si>
    <t>Component Number Field Name</t>
  </si>
  <si>
    <t>Component Description Field Name</t>
  </si>
  <si>
    <t>Multiple Component Row Headers</t>
  </si>
  <si>
    <t>Multiple Component Column Headers</t>
  </si>
  <si>
    <t>Task Field Name</t>
  </si>
  <si>
    <t>Task Photo Field Name</t>
  </si>
  <si>
    <t>InTask Photo Field Name</t>
  </si>
  <si>
    <t>Task Safety Warning Label</t>
  </si>
  <si>
    <t>Task Tools Field Name</t>
  </si>
  <si>
    <t>Task Materials Field Name</t>
  </si>
  <si>
    <t>Task Special Notes Field Name</t>
  </si>
  <si>
    <t>Task Special Permits Field Name</t>
  </si>
  <si>
    <t>Task Special PPE Field Name</t>
  </si>
  <si>
    <t>Task Special Hazards Field Name</t>
  </si>
  <si>
    <t>Task Special References Field Name</t>
  </si>
  <si>
    <t>Acceptable Conditions Field Name</t>
  </si>
  <si>
    <t>Author</t>
  </si>
  <si>
    <t>Work Instructions</t>
  </si>
  <si>
    <t>WI_TABLE_NO_PHOTO</t>
  </si>
  <si>
    <t>Substation 101</t>
  </si>
  <si>
    <t>Bay 201</t>
  </si>
  <si>
    <t>Main Power Transformer</t>
  </si>
  <si>
    <t>Visual Inspection</t>
  </si>
  <si>
    <t>danger.png</t>
  </si>
  <si>
    <t>JSA</t>
  </si>
  <si>
    <t>Job Safety Assessment</t>
  </si>
  <si>
    <t>Analyse all conditions on site. Pay particular attention to changes since the previous day or shift.</t>
  </si>
  <si>
    <t>Recommended Action</t>
  </si>
  <si>
    <t>Write down any significant changes and identify all safety risks.</t>
  </si>
  <si>
    <t>Write down all risks</t>
  </si>
  <si>
    <t>Determine and implement appropriate controls</t>
  </si>
  <si>
    <t>1,2,3,4,5</t>
  </si>
  <si>
    <t>Name,Date,Signature</t>
  </si>
  <si>
    <t>Required by safety standards</t>
  </si>
  <si>
    <t>SIL</t>
  </si>
  <si>
    <t>Silica Gel Inspection</t>
  </si>
  <si>
    <t>Chemical Substances</t>
  </si>
  <si>
    <t>If silica is discoloured, change for new silica canister.</t>
  </si>
  <si>
    <t>Inspect colour of silica gel. Compare discolouration with chart.</t>
  </si>
  <si>
    <t>Power Transformer</t>
  </si>
  <si>
    <t>TX 01</t>
  </si>
  <si>
    <t>Transformer TX01.jpg</t>
  </si>
  <si>
    <t>Silica Gel Conditions.PNG</t>
  </si>
  <si>
    <t>Visually and physically inspect wiring and connections condition. Check terminals and cores for loose connections.</t>
  </si>
  <si>
    <t>Visually inspect HV and LV terminal boxes, gaskets and internal connections.</t>
  </si>
  <si>
    <t xml:space="preserve">Function test low oil level alarm. </t>
  </si>
  <si>
    <t>Function test the Oil Temperature Indicator and Winding Temperature Indicator alarm and trip points.
If transformer is Forced Air cooled, set the fans to "Auto" start.</t>
  </si>
  <si>
    <t>Manually activate the micro switch on the Pressure Relief Valve</t>
  </si>
  <si>
    <t xml:space="preserve">Listen to transformer for excessive/abnormal humming. </t>
  </si>
  <si>
    <t>Check general condition of the transformer compound, including fence.</t>
  </si>
  <si>
    <t>Visually inspect cabinet seals, glands, hinges, locks, switches, buttons and lamps condition. Test lamps</t>
  </si>
  <si>
    <t>Visually check the identification (tag) label and the nameplate condition.</t>
  </si>
  <si>
    <t>Check Oil Temperature, Winding Temperature and Oil Level.</t>
  </si>
  <si>
    <t>WIR</t>
  </si>
  <si>
    <t>Wiring Inspection</t>
  </si>
  <si>
    <t>FUN</t>
  </si>
  <si>
    <t>Functional Tests</t>
  </si>
  <si>
    <t>Standard Trade Tools</t>
  </si>
  <si>
    <t>NOISE</t>
  </si>
  <si>
    <t>Visually inspect earth conductor, all earth connections inclusive of compound earthing connections and joins condition.</t>
  </si>
  <si>
    <t>Visually check cooling fins general condition and for oil leaks.</t>
  </si>
  <si>
    <t>EARTH</t>
  </si>
  <si>
    <t>Earthing System Inspections</t>
  </si>
  <si>
    <t>GEN</t>
  </si>
  <si>
    <t>General Inspections</t>
  </si>
  <si>
    <t>COOL</t>
  </si>
  <si>
    <t>Cooling System Inspections</t>
  </si>
  <si>
    <t>IDS</t>
  </si>
  <si>
    <t>TEMP</t>
  </si>
  <si>
    <t>Temperature Checks</t>
  </si>
  <si>
    <t>OTI,WTI,OL</t>
  </si>
  <si>
    <t>Reading,Notes</t>
  </si>
  <si>
    <t>&lt;INTERVAL&gt;</t>
  </si>
  <si>
    <t>&lt;INTERVAL_UNIT&gt;</t>
  </si>
  <si>
    <t>&lt;TRADE&gt;</t>
  </si>
  <si>
    <t>Your Name Goes Here</t>
  </si>
  <si>
    <t>Explain to all team members and sign.</t>
  </si>
  <si>
    <t>Work Instruction Section</t>
  </si>
  <si>
    <t>SYSTEM_COMPOUND_DESC</t>
  </si>
  <si>
    <t>FRONT_PAGE_BLOCK</t>
  </si>
  <si>
    <t>Labelling and Identifications</t>
  </si>
  <si>
    <t>Noise Inspections</t>
  </si>
  <si>
    <t>DOC PREFIX TEXT</t>
  </si>
  <si>
    <t>DOC SUFFIX TEXT</t>
  </si>
  <si>
    <t>3</t>
  </si>
  <si>
    <t>BUCH</t>
  </si>
  <si>
    <t>Buchholz Relay Inspection</t>
  </si>
  <si>
    <t>Inspect the condition of the Buchholz relay. Inspect the state of the gas accumulation window.</t>
  </si>
  <si>
    <t>Buchholz should not have any gas accumulated. If gas is found, alert your supervisor, take a gas sample and analyse for combustible gases.</t>
  </si>
  <si>
    <t>Part of new inspection regime</t>
  </si>
  <si>
    <t>Oil Level Gauge.jpg</t>
  </si>
  <si>
    <t>Buchholz Relay.jpg</t>
  </si>
  <si>
    <t>Wiring Box.jpg</t>
  </si>
  <si>
    <t>Terminal Blocks.jpg</t>
  </si>
  <si>
    <t>PRV.jpg</t>
  </si>
  <si>
    <t>Cooling Fans.JPG</t>
  </si>
  <si>
    <t>Temperature Indicators.jpg</t>
  </si>
  <si>
    <t>G:\Programming\EngineersTools\WinWriter\Images\</t>
  </si>
  <si>
    <t>G:\Programming\EngineersTools\WinWriter\Equipment Manuals\</t>
  </si>
  <si>
    <t>G:\Programming\EngineersTools\WinWriter\Work Instruction Template.dotm</t>
  </si>
  <si>
    <t>G:\Programming\EngineersTools\WinWriter\Work Instructions\</t>
  </si>
  <si>
    <t>Example Equipment Manual.txt</t>
  </si>
  <si>
    <t>28/01/2018 21:06:34</t>
  </si>
  <si>
    <t>28/01/2018 21:06:43</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</si>
</sst>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0"/>
      <name val="Arial"/>
    </font>
    <font>
      <sz val="11"/>
      <color theme="1"/>
      <name val="Calibri"/>
      <family val="2"/>
      <scheme val="minor"/>
    </font>
    <font>
      <sz val="11"/>
      <color theme="1"/>
      <name val="Calibri"/>
      <family val="2"/>
      <scheme val="minor"/>
    </font>
    <font>
      <sz val="10"/>
      <name val="Arial"/>
      <family val="2"/>
    </font>
    <font>
      <sz val="8"/>
      <name val="Arial"/>
      <family val="2"/>
    </font>
    <font>
      <sz val="10"/>
      <name val="Arial"/>
      <family val="2"/>
    </font>
    <font>
      <b/>
      <sz val="10"/>
      <name val="Arial"/>
      <family val="2"/>
    </font>
    <font>
      <b/>
      <sz val="11"/>
      <name val="Calibri"/>
      <family val="2"/>
      <scheme val="minor"/>
    </font>
    <font>
      <b/>
      <sz val="12"/>
      <name val="Arial"/>
      <family val="2"/>
    </font>
    <font>
      <sz val="9"/>
      <color indexed="81"/>
      <name val="Tahoma"/>
      <family val="2"/>
    </font>
    <font>
      <b/>
      <sz val="9"/>
      <color indexed="81"/>
      <name val="Tahoma"/>
      <family val="2"/>
    </font>
    <font>
      <b/>
      <sz val="11"/>
      <color theme="3"/>
      <name val="Calibri"/>
      <family val="2"/>
      <scheme val="minor"/>
    </font>
    <font>
      <u/>
      <sz val="10"/>
      <color theme="10"/>
      <name val="Arial"/>
      <family val="2"/>
    </font>
    <font>
      <b/>
      <sz val="10"/>
      <name val="Arial"/>
      <family val="2"/>
    </font>
    <font>
      <b/>
      <sz val="10"/>
      <name val="Arial"/>
      <family val="2"/>
    </font>
  </fonts>
  <fills count="3">
    <fill>
      <patternFill patternType="none"/>
    </fill>
    <fill>
      <patternFill patternType="gray125"/>
    </fill>
    <fill>
      <patternFill patternType="solid">
        <fgColor theme="4" tint="0.79998168889431442"/>
        <bgColor indexed="65"/>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medium">
        <color theme="4" tint="0.39997558519241921"/>
      </bottom>
      <diagonal/>
    </border>
  </borders>
  <cellStyleXfs count="4">
    <xf numFmtId="0" fontId="0" fillId="0" borderId="0"/>
    <xf numFmtId="0" fontId="2" fillId="2" borderId="0" applyNumberFormat="0" applyBorder="0" applyAlignment="0" applyProtection="0"/>
    <xf numFmtId="0" fontId="11" fillId="0" borderId="2" applyNumberFormat="0" applyFill="0" applyAlignment="0" applyProtection="0"/>
    <xf numFmtId="0" fontId="12" fillId="0" borderId="0" applyNumberFormat="0" applyFill="0" applyBorder="0" applyAlignment="0" applyProtection="0"/>
  </cellStyleXfs>
  <cellXfs count="53">
    <xf numFmtId="0" fontId="0" fillId="0" borderId="0" xfId="0"/>
    <xf numFmtId="0" fontId="0" fillId="0" borderId="0" xfId="0" applyAlignment="1">
      <alignment wrapText="1"/>
    </xf>
    <xf numFmtId="0" fontId="6" fillId="0" borderId="0" xfId="0" applyFont="1"/>
    <xf numFmtId="0" fontId="5" fillId="0" borderId="0" xfId="0" applyFont="1" applyFill="1" applyBorder="1" applyAlignment="1">
      <alignment vertical="top" wrapText="1"/>
    </xf>
    <xf numFmtId="0" fontId="0" fillId="0" borderId="0" xfId="0" pivotButton="1"/>
    <xf numFmtId="0" fontId="0" fillId="0" borderId="0" xfId="0" applyNumberFormat="1"/>
    <xf numFmtId="0" fontId="0" fillId="0" borderId="0" xfId="0" pivotButton="1" applyAlignment="1">
      <alignment wrapText="1"/>
    </xf>
    <xf numFmtId="0" fontId="0" fillId="0" borderId="0" xfId="0" applyAlignment="1">
      <alignment textRotation="90" wrapText="1"/>
    </xf>
    <xf numFmtId="0" fontId="3" fillId="0" borderId="0" xfId="0" applyFont="1"/>
    <xf numFmtId="0" fontId="7" fillId="0" borderId="0" xfId="0" applyFont="1" applyFill="1" applyBorder="1" applyAlignment="1">
      <alignment horizontal="left" vertical="top"/>
    </xf>
    <xf numFmtId="49" fontId="0" fillId="0" borderId="0" xfId="0" applyNumberFormat="1"/>
    <xf numFmtId="49" fontId="3" fillId="0" borderId="0" xfId="0" applyNumberFormat="1" applyFont="1"/>
    <xf numFmtId="49" fontId="3" fillId="0" borderId="0" xfId="0" applyNumberFormat="1" applyFont="1" applyProtection="1">
      <protection locked="0"/>
    </xf>
    <xf numFmtId="0" fontId="3" fillId="0" borderId="0" xfId="0" applyFont="1" applyProtection="1">
      <protection locked="0"/>
    </xf>
    <xf numFmtId="49" fontId="0" fillId="0" borderId="0" xfId="0" applyNumberFormat="1" applyProtection="1">
      <protection locked="0"/>
    </xf>
    <xf numFmtId="0" fontId="3" fillId="0" borderId="0" xfId="0" applyFont="1" applyAlignment="1" applyProtection="1">
      <alignment wrapText="1"/>
      <protection locked="0"/>
    </xf>
    <xf numFmtId="49" fontId="3" fillId="0" borderId="0" xfId="0" applyNumberFormat="1" applyFont="1" applyAlignment="1" applyProtection="1">
      <alignment wrapText="1"/>
      <protection locked="0"/>
    </xf>
    <xf numFmtId="0" fontId="2" fillId="2" borderId="1" xfId="1" applyBorder="1"/>
    <xf numFmtId="0" fontId="6" fillId="0" borderId="1" xfId="0" applyFont="1" applyBorder="1"/>
    <xf numFmtId="0" fontId="8" fillId="0" borderId="1" xfId="0" applyFont="1" applyBorder="1"/>
    <xf numFmtId="0" fontId="2" fillId="2" borderId="1" xfId="1" applyBorder="1" applyAlignment="1">
      <alignment horizontal="left" vertical="top"/>
    </xf>
    <xf numFmtId="0" fontId="3" fillId="0" borderId="1" xfId="0" applyFont="1" applyBorder="1" applyProtection="1">
      <protection locked="0"/>
    </xf>
    <xf numFmtId="0" fontId="3" fillId="0" borderId="1" xfId="0" applyFont="1" applyBorder="1" applyAlignment="1" applyProtection="1">
      <alignment horizontal="left" vertical="top" wrapText="1"/>
      <protection locked="0"/>
    </xf>
    <xf numFmtId="0" fontId="0" fillId="0" borderId="1" xfId="0" applyBorder="1" applyAlignment="1" applyProtection="1">
      <alignment horizontal="left" vertical="top"/>
      <protection locked="0"/>
    </xf>
    <xf numFmtId="0" fontId="0" fillId="0" borderId="0" xfId="0"/>
    <xf numFmtId="0" fontId="3" fillId="0" borderId="0" xfId="0" applyFont="1"/>
    <xf numFmtId="14" fontId="3" fillId="0" borderId="0" xfId="0" applyNumberFormat="1" applyFont="1" applyProtection="1">
      <protection locked="0"/>
    </xf>
    <xf numFmtId="0" fontId="0" fillId="0" borderId="0" xfId="0" applyBorder="1"/>
    <xf numFmtId="14" fontId="0" fillId="0" borderId="0" xfId="0" applyNumberFormat="1"/>
    <xf numFmtId="0" fontId="12" fillId="0" borderId="0" xfId="3"/>
    <xf numFmtId="0" fontId="12" fillId="0" borderId="0" xfId="3" applyNumberFormat="1"/>
    <xf numFmtId="0" fontId="0" fillId="0" borderId="0" xfId="0" applyNumberFormat="1" applyBorder="1"/>
    <xf numFmtId="49" fontId="12" fillId="0" borderId="0" xfId="3" applyNumberFormat="1" applyProtection="1">
      <protection locked="0"/>
    </xf>
    <xf numFmtId="0" fontId="13" fillId="0" borderId="0" xfId="0" applyFont="1"/>
    <xf numFmtId="49" fontId="0" fillId="0" borderId="0" xfId="0" applyNumberFormat="1" applyFont="1" applyProtection="1">
      <protection locked="0"/>
    </xf>
    <xf numFmtId="22" fontId="3" fillId="0" borderId="0" xfId="0" applyNumberFormat="1" applyFont="1"/>
    <xf numFmtId="0" fontId="5" fillId="0" borderId="0" xfId="0" applyFont="1" applyFill="1" applyBorder="1" applyAlignment="1" applyProtection="1">
      <alignment vertical="top" wrapText="1"/>
      <protection locked="0"/>
    </xf>
    <xf numFmtId="0" fontId="14" fillId="0" borderId="0" xfId="0" applyFont="1"/>
    <xf numFmtId="0" fontId="1" fillId="2" borderId="1" xfId="1" applyFont="1" applyBorder="1" applyAlignment="1">
      <alignment horizontal="left" vertical="top"/>
    </xf>
    <xf numFmtId="0" fontId="3" fillId="0" borderId="0" xfId="0" applyFont="1" applyAlignment="1">
      <alignment wrapText="1"/>
    </xf>
    <xf numFmtId="0" fontId="11" fillId="0" borderId="0" xfId="2" applyFill="1" applyBorder="1"/>
    <xf numFmtId="0" fontId="6" fillId="0" borderId="0" xfId="0" applyFont="1" applyBorder="1"/>
    <xf numFmtId="0" fontId="3" fillId="0" borderId="0" xfId="0" applyFont="1" applyFill="1" applyBorder="1" applyProtection="1">
      <protection locked="0"/>
    </xf>
    <xf numFmtId="0" fontId="0" fillId="0" borderId="0" xfId="0" applyFill="1" applyBorder="1" applyProtection="1">
      <protection locked="0"/>
    </xf>
    <xf numFmtId="0" fontId="0" fillId="0" borderId="0" xfId="0"/>
    <xf numFmtId="0" fontId="0" fillId="0" borderId="0" xfId="0" applyFill="1"/>
    <xf numFmtId="0" fontId="0" fillId="0" borderId="0" xfId="0" applyFill="1" applyAlignment="1">
      <alignment wrapText="1"/>
    </xf>
    <xf numFmtId="0" fontId="0" fillId="0" borderId="0" xfId="0" applyNumberFormat="1" applyFill="1" applyAlignment="1">
      <alignment wrapText="1"/>
    </xf>
    <xf numFmtId="0" fontId="3" fillId="0" borderId="0" xfId="0" applyFont="1" applyFill="1"/>
    <xf numFmtId="0" fontId="3" fillId="0" borderId="0" xfId="0" applyFont="1" applyFill="1" applyAlignment="1">
      <alignment wrapText="1"/>
    </xf>
    <xf numFmtId="0" fontId="12" fillId="0" borderId="0" xfId="3" applyFill="1"/>
    <xf numFmtId="0" fontId="3" fillId="0" borderId="0" xfId="0" applyNumberFormat="1" applyFont="1" applyFill="1" applyAlignment="1">
      <alignment wrapText="1"/>
    </xf>
    <xf numFmtId="0" fontId="0" fillId="0" borderId="0" xfId="0" applyFont="1"/>
  </cellXfs>
  <cellStyles count="4">
    <cellStyle name="20% - Accent1" xfId="1" builtinId="30"/>
    <cellStyle name="Heading 3" xfId="2" builtinId="18"/>
    <cellStyle name="Hyperlink" xfId="3" builtinId="8"/>
    <cellStyle name="Normal" xfId="0" builtinId="0"/>
  </cellStyles>
  <dxfs count="63">
    <dxf>
      <border>
        <left style="thin">
          <color auto="1"/>
        </left>
        <right style="thin">
          <color auto="1"/>
        </right>
        <top style="thin">
          <color auto="1"/>
        </top>
        <bottom style="thin">
          <color auto="1"/>
        </bottom>
        <vertical/>
        <horizontal/>
      </border>
    </dxf>
    <dxf>
      <alignment wrapText="1" readingOrder="0"/>
    </dxf>
    <dxf>
      <alignment wrapText="1" readingOrder="0"/>
    </dxf>
    <dxf>
      <alignment wrapText="1" readingOrder="0"/>
    </dxf>
    <dxf>
      <alignment wrapText="1" readingOrder="0"/>
    </dxf>
    <dxf>
      <alignment wrapText="1" readingOrder="0"/>
    </dxf>
    <dxf>
      <alignment wrapText="1"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border diagonalUp="0" diagonalDown="0" outline="0">
        <left/>
        <right/>
        <top/>
        <bottom/>
      </border>
    </dxf>
    <dxf>
      <numFmt numFmtId="164" formatCode="m/d/yyyy"/>
      <border diagonalUp="0" diagonalDown="0" outline="0">
        <left/>
        <right/>
        <top/>
        <bottom/>
      </border>
    </dxf>
    <dxf>
      <border diagonalUp="0" diagonalDown="0" outline="0">
        <left/>
        <right/>
        <top/>
        <bottom/>
      </border>
    </dxf>
    <dxf>
      <font>
        <b val="0"/>
        <i val="0"/>
        <strike val="0"/>
        <condense val="0"/>
        <extend val="0"/>
        <outline val="0"/>
        <shadow val="0"/>
        <u val="none"/>
        <vertAlign val="baseline"/>
        <sz val="10"/>
        <color auto="1"/>
        <name val="Arial"/>
        <scheme val="none"/>
      </font>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font>
        <b val="0"/>
      </font>
    </dxf>
    <dxf>
      <alignment textRotation="0" readingOrder="0"/>
    </dxf>
    <dxf>
      <alignment wrapText="1" readingOrder="0"/>
    </dxf>
    <dxf>
      <alignment wrapText="1" readingOrder="0"/>
    </dxf>
    <dxf>
      <alignment wrapText="1" readingOrder="0"/>
    </dxf>
    <dxf>
      <alignment wrapText="1" readingOrder="0"/>
    </dxf>
    <dxf>
      <alignment wrapText="1" readingOrder="0"/>
    </dxf>
    <dxf>
      <alignment textRotation="90" readingOrder="0"/>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alignment horizontal="general" vertical="bottom" textRotation="0" wrapText="1" indent="0" justifyLastLine="0" shrinkToFit="0" readingOrder="0"/>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scheme val="none"/>
      </font>
      <numFmt numFmtId="30" formatCode="@"/>
      <protection locked="0" hidden="0"/>
    </dxf>
    <dxf>
      <font>
        <b/>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s>
  <tableStyles count="1" defaultTableStyle="TableStyleMedium9" defaultPivotStyle="PivotStyleLight16">
    <tableStyle name="RESD_Table" pivot="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E:\Programming\Excel\WIN%20Writer\Work%20Instruction%20Writer%20-%20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D"/>
      <sheetName val="RESD Tasks Summary"/>
      <sheetName val="Generated Files Log"/>
      <sheetName val="RESD FMEA Summary"/>
      <sheetName val="RESD Man Hours Summary"/>
      <sheetName val="RESD Tools, Matls and Eq Summ"/>
      <sheetName val="Front Page Contents"/>
      <sheetName val="Front Page Contents - AIM"/>
      <sheetName val="Lists"/>
      <sheetName val="shtDocumentControl"/>
    </sheetNames>
    <sheetDataSet>
      <sheetData sheetId="0" refreshError="1"/>
      <sheetData sheetId="1" refreshError="1"/>
      <sheetData sheetId="2" refreshError="1"/>
      <sheetData sheetId="3" refreshError="1"/>
      <sheetData sheetId="4" refreshError="1"/>
      <sheetData sheetId="5" refreshError="1"/>
      <sheetData sheetId="6">
        <row r="2">
          <cell r="B2" t="str">
            <v>FRONT PAGE TABLE</v>
          </cell>
          <cell r="C2" t="str">
            <v>Online</v>
          </cell>
          <cell r="D2" t="str">
            <v>Offline</v>
          </cell>
          <cell r="E2" t="str">
            <v>Test Mode</v>
          </cell>
          <cell r="F2" t="e">
            <v>#N/A</v>
          </cell>
          <cell r="G2" t="e">
            <v>#N/A</v>
          </cell>
          <cell r="H2" t="e">
            <v>#N/A</v>
          </cell>
        </row>
      </sheetData>
      <sheetData sheetId="7">
        <row r="2">
          <cell r="B2" t="str">
            <v>AIM TABLE</v>
          </cell>
          <cell r="C2" t="str">
            <v>Online</v>
          </cell>
          <cell r="D2" t="str">
            <v>Offline</v>
          </cell>
          <cell r="E2" t="str">
            <v>Test Mode</v>
          </cell>
          <cell r="F2" t="e">
            <v>#N/A</v>
          </cell>
          <cell r="G2" t="e">
            <v>#N/A</v>
          </cell>
          <cell r="H2" t="e">
            <v>#N/A</v>
          </cell>
        </row>
        <row r="3">
          <cell r="B3" t="str">
            <v>Mechanical</v>
          </cell>
        </row>
        <row r="4">
          <cell r="B4" t="str">
            <v>Electrical</v>
          </cell>
        </row>
        <row r="5">
          <cell r="B5" t="str">
            <v>Engineering</v>
          </cell>
        </row>
        <row r="6">
          <cell r="B6" t="str">
            <v>Instrumentation</v>
          </cell>
        </row>
        <row r="7">
          <cell r="B7" t="str">
            <v>Lubrication</v>
          </cell>
        </row>
        <row r="8">
          <cell r="B8" t="str">
            <v>Condition Monitoring</v>
          </cell>
        </row>
        <row r="9">
          <cell r="B9" t="str">
            <v>Operators</v>
          </cell>
        </row>
        <row r="10">
          <cell r="B10" t="str">
            <v>Test Technician</v>
          </cell>
        </row>
        <row r="11">
          <cell r="B11" t="e">
            <v>#N/A</v>
          </cell>
        </row>
        <row r="12">
          <cell r="B12" t="e">
            <v>#N/A</v>
          </cell>
        </row>
        <row r="13">
          <cell r="B13" t="e">
            <v>#N/A</v>
          </cell>
        </row>
        <row r="14">
          <cell r="B14" t="e">
            <v>#N/A</v>
          </cell>
        </row>
        <row r="15">
          <cell r="B15" t="e">
            <v>#N/A</v>
          </cell>
        </row>
        <row r="16">
          <cell r="B16" t="e">
            <v>#N/A</v>
          </cell>
        </row>
        <row r="17">
          <cell r="B17" t="e">
            <v>#N/A</v>
          </cell>
        </row>
        <row r="18">
          <cell r="B18" t="e">
            <v>#N/A</v>
          </cell>
        </row>
        <row r="19">
          <cell r="B19" t="e">
            <v>#N/A</v>
          </cell>
        </row>
        <row r="20">
          <cell r="B20" t="e">
            <v>#N/A</v>
          </cell>
        </row>
        <row r="21">
          <cell r="B21" t="e">
            <v>#N/A</v>
          </cell>
        </row>
        <row r="22">
          <cell r="B22" t="e">
            <v>#N/A</v>
          </cell>
        </row>
      </sheetData>
      <sheetData sheetId="8">
        <row r="1">
          <cell r="A1" t="str">
            <v>Consequence</v>
          </cell>
          <cell r="B1" t="str">
            <v>Trade</v>
          </cell>
          <cell r="D1" t="str">
            <v>Changes</v>
          </cell>
          <cell r="E1" t="str">
            <v>Task Type</v>
          </cell>
          <cell r="F1" t="str">
            <v>Completed</v>
          </cell>
          <cell r="G1" t="str">
            <v>Warning Safety Label</v>
          </cell>
          <cell r="I1" t="str">
            <v>Equip Status</v>
          </cell>
          <cell r="K1" t="str">
            <v>Interval</v>
          </cell>
          <cell r="L1" t="str">
            <v>Interval Units</v>
          </cell>
        </row>
        <row r="2">
          <cell r="A2" t="str">
            <v>Financial</v>
          </cell>
          <cell r="B2" t="str">
            <v>Mechanical</v>
          </cell>
          <cell r="D2" t="str">
            <v>Changed Discipline</v>
          </cell>
          <cell r="E2" t="str">
            <v>Condition Monitoring</v>
          </cell>
          <cell r="F2" t="str">
            <v>Yes</v>
          </cell>
          <cell r="G2" t="str">
            <v>warning.png</v>
          </cell>
          <cell r="I2" t="str">
            <v>Online</v>
          </cell>
          <cell r="K2">
            <v>1</v>
          </cell>
          <cell r="L2" t="str">
            <v>Days</v>
          </cell>
        </row>
        <row r="3">
          <cell r="A3" t="str">
            <v>Environmental</v>
          </cell>
          <cell r="B3" t="str">
            <v>Electrical</v>
          </cell>
          <cell r="D3" t="str">
            <v>Delete Task</v>
          </cell>
          <cell r="E3" t="str">
            <v>Failure Finding</v>
          </cell>
          <cell r="F3" t="str">
            <v>No</v>
          </cell>
          <cell r="G3" t="str">
            <v>caution.png</v>
          </cell>
          <cell r="I3" t="str">
            <v>Offline</v>
          </cell>
          <cell r="K3">
            <v>2</v>
          </cell>
          <cell r="L3" t="str">
            <v>Months</v>
          </cell>
        </row>
        <row r="4">
          <cell r="A4" t="str">
            <v>Non-Operational</v>
          </cell>
          <cell r="B4" t="str">
            <v>Engineering</v>
          </cell>
          <cell r="D4" t="str">
            <v>Duplicate Task</v>
          </cell>
          <cell r="E4" t="str">
            <v>Fixed Interval</v>
          </cell>
          <cell r="I4" t="str">
            <v>Test Mode</v>
          </cell>
          <cell r="K4">
            <v>3</v>
          </cell>
          <cell r="L4" t="str">
            <v>Weeks</v>
          </cell>
        </row>
        <row r="5">
          <cell r="A5" t="str">
            <v>Operational</v>
          </cell>
          <cell r="B5" t="str">
            <v>Instrumentation</v>
          </cell>
          <cell r="D5" t="str">
            <v>Improve Task Description</v>
          </cell>
          <cell r="E5" t="str">
            <v>Modification</v>
          </cell>
          <cell r="K5">
            <v>4</v>
          </cell>
          <cell r="L5" t="str">
            <v>Years</v>
          </cell>
        </row>
        <row r="6">
          <cell r="A6" t="str">
            <v>Safety</v>
          </cell>
          <cell r="B6" t="str">
            <v>Lubrication</v>
          </cell>
          <cell r="D6" t="str">
            <v>Increase Frequency</v>
          </cell>
          <cell r="E6" t="str">
            <v>Not Applicable</v>
          </cell>
          <cell r="K6">
            <v>5</v>
          </cell>
          <cell r="L6" t="str">
            <v>One Instance</v>
          </cell>
        </row>
        <row r="7">
          <cell r="B7" t="str">
            <v>Condition Monitoring</v>
          </cell>
          <cell r="D7" t="str">
            <v>New Task created</v>
          </cell>
          <cell r="E7" t="str">
            <v>Task</v>
          </cell>
          <cell r="K7">
            <v>6</v>
          </cell>
          <cell r="L7" t="str">
            <v>During Operation</v>
          </cell>
        </row>
        <row r="8">
          <cell r="B8" t="str">
            <v>Operators</v>
          </cell>
          <cell r="D8" t="str">
            <v>No Task Changes</v>
          </cell>
          <cell r="K8">
            <v>7</v>
          </cell>
          <cell r="L8" t="str">
            <v>Hours</v>
          </cell>
        </row>
        <row r="9">
          <cell r="B9" t="str">
            <v>Test Technician</v>
          </cell>
          <cell r="D9" t="str">
            <v>Reduce Frequency</v>
          </cell>
          <cell r="K9">
            <v>8</v>
          </cell>
          <cell r="L9" t="str">
            <v>Cycles</v>
          </cell>
        </row>
        <row r="10">
          <cell r="K10">
            <v>9</v>
          </cell>
        </row>
        <row r="11">
          <cell r="K11">
            <v>10</v>
          </cell>
        </row>
        <row r="12">
          <cell r="K12">
            <v>12</v>
          </cell>
        </row>
        <row r="13">
          <cell r="K13">
            <v>16</v>
          </cell>
        </row>
        <row r="14">
          <cell r="K14">
            <v>18</v>
          </cell>
        </row>
        <row r="15">
          <cell r="K15">
            <v>20</v>
          </cell>
        </row>
        <row r="16">
          <cell r="K16">
            <v>24</v>
          </cell>
        </row>
        <row r="17">
          <cell r="K17">
            <v>25</v>
          </cell>
        </row>
        <row r="18">
          <cell r="K18">
            <v>36</v>
          </cell>
        </row>
        <row r="19">
          <cell r="K19">
            <v>48</v>
          </cell>
        </row>
        <row r="20">
          <cell r="K20">
            <v>72</v>
          </cell>
        </row>
        <row r="21">
          <cell r="K21">
            <v>96</v>
          </cell>
        </row>
        <row r="22">
          <cell r="K22">
            <v>100</v>
          </cell>
        </row>
        <row r="23">
          <cell r="K23">
            <v>120</v>
          </cell>
        </row>
        <row r="24">
          <cell r="K24">
            <v>144</v>
          </cell>
        </row>
        <row r="25">
          <cell r="K25">
            <v>192</v>
          </cell>
        </row>
        <row r="26">
          <cell r="K26">
            <v>500</v>
          </cell>
        </row>
        <row r="27">
          <cell r="K27">
            <v>1000</v>
          </cell>
        </row>
        <row r="28">
          <cell r="K28">
            <v>1500</v>
          </cell>
        </row>
        <row r="29">
          <cell r="K29">
            <v>2000</v>
          </cell>
        </row>
        <row r="30">
          <cell r="K30">
            <v>3000</v>
          </cell>
        </row>
        <row r="31">
          <cell r="K31">
            <v>4000</v>
          </cell>
        </row>
        <row r="32">
          <cell r="K32">
            <v>5000</v>
          </cell>
        </row>
        <row r="33">
          <cell r="K33">
            <v>8000</v>
          </cell>
        </row>
        <row r="34">
          <cell r="K34">
            <v>10000</v>
          </cell>
        </row>
        <row r="35">
          <cell r="K35">
            <v>12000</v>
          </cell>
        </row>
        <row r="36">
          <cell r="K36">
            <v>16000</v>
          </cell>
        </row>
        <row r="37">
          <cell r="K37">
            <v>20000</v>
          </cell>
        </row>
        <row r="38">
          <cell r="K38">
            <v>24000</v>
          </cell>
        </row>
        <row r="39">
          <cell r="K39">
            <v>40000</v>
          </cell>
        </row>
        <row r="40">
          <cell r="K40">
            <v>48000</v>
          </cell>
        </row>
        <row r="41">
          <cell r="K41">
            <v>80000</v>
          </cell>
        </row>
      </sheetData>
      <sheetData sheetId="9">
        <row r="41">
          <cell r="D41" t="str">
            <v>D:\Programming\Excel\WIN Writer\Images\</v>
          </cell>
        </row>
        <row r="45">
          <cell r="D45" t="str">
            <v>D:\Programming\Excel\WIN Writer\Images\</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arlos Gamez" refreshedDate="43128.879322800924" missingItemsLimit="0" createdVersion="4" refreshedVersion="5" minRefreshableVersion="3" recordCount="18">
  <cacheSource type="worksheet">
    <worksheetSource name="tblWorkInstructions"/>
  </cacheSource>
  <cacheFields count="31">
    <cacheField name="ID" numFmtId="0">
      <sharedItems containsSemiMixedTypes="0" containsString="0" containsNumber="1" containsInteger="1" minValue="1" maxValue="18"/>
    </cacheField>
    <cacheField name="Equipment Number" numFmtId="0">
      <sharedItems/>
    </cacheField>
    <cacheField name="Equipment Description" numFmtId="0">
      <sharedItems/>
    </cacheField>
    <cacheField name="Work Instruction Title" numFmtId="0">
      <sharedItems count="1">
        <s v="Visual Inspection"/>
      </sharedItems>
    </cacheField>
    <cacheField name="Step" numFmtId="0">
      <sharedItems count="11">
        <s v="JSA"/>
        <s v="SIL"/>
        <s v="WIR"/>
        <s v="FUN"/>
        <s v="NOISE"/>
        <s v="EARTH"/>
        <s v="COOL"/>
        <s v="GEN"/>
        <s v="IDS"/>
        <s v="TEMP"/>
        <s v="BUCH"/>
      </sharedItems>
    </cacheField>
    <cacheField name="Step Description" numFmtId="0">
      <sharedItems count="11">
        <s v="Job Safety Assessment"/>
        <s v="Silica Gel Inspection"/>
        <s v="Wiring Inspection"/>
        <s v="Functional Tests"/>
        <s v="Noise Inspections"/>
        <s v="Earthing System Inspections"/>
        <s v="Cooling System Inspections"/>
        <s v="General Inspections"/>
        <s v="Labelling and Identifications"/>
        <s v="Temperature Checks"/>
        <s v="Buchholz Relay Inspection"/>
      </sharedItems>
    </cacheField>
    <cacheField name="Row Headers" numFmtId="0">
      <sharedItems containsBlank="1" count="3">
        <s v="1,2,3,4,5"/>
        <m/>
        <s v="OTI,WTI,OL"/>
      </sharedItems>
    </cacheField>
    <cacheField name="Column Headers" numFmtId="0">
      <sharedItems containsBlank="1" count="3">
        <s v="Name,Date,Signature"/>
        <m/>
        <s v="Reading,Notes"/>
      </sharedItems>
    </cacheField>
    <cacheField name="Task Sequence" numFmtId="0">
      <sharedItems containsSemiMixedTypes="0" containsString="0" containsNumber="1" containsInteger="1" minValue="1" maxValue="4" count="4">
        <n v="1"/>
        <n v="2"/>
        <n v="3"/>
        <n v="4"/>
      </sharedItems>
    </cacheField>
    <cacheField name="Task" numFmtId="0">
      <sharedItems count="18">
        <s v="Analyse all conditions on site. Pay particular attention to changes since the previous day or shift."/>
        <s v="Write down all risks"/>
        <s v="Determine and implement appropriate controls"/>
        <s v="Explain to all team members and sign."/>
        <s v="Inspect colour of silica gel. Compare discolouration with chart."/>
        <s v="Visually and physically inspect wiring and connections condition. Check terminals and cores for loose connections."/>
        <s v="Visually inspect HV and LV terminal boxes, gaskets and internal connections."/>
        <s v="Function test low oil level alarm. "/>
        <s v="Function test the Oil Temperature Indicator and Winding Temperature Indicator alarm and trip points._x000a_If transformer is Forced Air cooled, set the fans to &quot;Auto&quot; start."/>
        <s v="Manually activate the micro switch on the Pressure Relief Valve"/>
        <s v="Listen to transformer for excessive/abnormal humming. "/>
        <s v="Visually inspect earth conductor, all earth connections inclusive of compound earthing connections and joins condition."/>
        <s v="Visually check cooling fins general condition and for oil leaks."/>
        <s v="Check general condition of the transformer compound, including fence."/>
        <s v="Visually inspect cabinet seals, glands, hinges, locks, switches, buttons and lamps condition. Test lamps"/>
        <s v="Visually check the identification (tag) label and the nameplate condition."/>
        <s v="Check Oil Temperature, Winding Temperature and Oil Level."/>
        <s v="Inspect the condition of the Buchholz relay. Inspect the state of the gas accumulation window."/>
      </sharedItems>
    </cacheField>
    <cacheField name="Tools" numFmtId="0">
      <sharedItems containsBlank="1" count="2">
        <m/>
        <s v="Standard Trade Tools"/>
      </sharedItems>
    </cacheField>
    <cacheField name="Materials" numFmtId="0">
      <sharedItems containsNonDate="0" containsString="0" containsBlank="1" count="1">
        <m/>
      </sharedItems>
    </cacheField>
    <cacheField name="Special Notes" numFmtId="0">
      <sharedItems containsNonDate="0" containsString="0" containsBlank="1" count="1">
        <m/>
      </sharedItems>
    </cacheField>
    <cacheField name="Special Permits" numFmtId="0">
      <sharedItems containsNonDate="0" containsString="0" containsBlank="1" count="1">
        <m/>
      </sharedItems>
    </cacheField>
    <cacheField name="Special PPE" numFmtId="0">
      <sharedItems containsNonDate="0" containsString="0" containsBlank="1" count="1">
        <m/>
      </sharedItems>
    </cacheField>
    <cacheField name="Special Hazards" numFmtId="0">
      <sharedItems containsBlank="1" count="2">
        <m/>
        <s v="Chemical Substances"/>
      </sharedItems>
    </cacheField>
    <cacheField name="Manual References" numFmtId="0">
      <sharedItems containsBlank="1" count="2">
        <m/>
        <s v="Example Equipment Manual.txt"/>
      </sharedItems>
    </cacheField>
    <cacheField name="Safety Warning Label" numFmtId="0">
      <sharedItems containsBlank="1" count="3">
        <s v="caution.png"/>
        <m/>
        <s v="warning.png"/>
      </sharedItems>
    </cacheField>
    <cacheField name="In-task Photo" numFmtId="0">
      <sharedItems containsBlank="1" count="2">
        <m/>
        <s v="Terminal Blocks.jpg"/>
      </sharedItems>
    </cacheField>
    <cacheField name="Top Photo" numFmtId="0">
      <sharedItems containsBlank="1" count="8">
        <m/>
        <s v="Silica Gel Conditions.PNG"/>
        <s v="Wiring Box.jpg"/>
        <s v="Oil Level Gauge.jpg"/>
        <s v="Temperature Indicators.jpg"/>
        <s v="PRV.jpg"/>
        <s v="Cooling Fans.JPG"/>
        <s v="Buchholz Relay.jpg"/>
      </sharedItems>
    </cacheField>
    <cacheField name="Interval" numFmtId="0">
      <sharedItems containsSemiMixedTypes="0" containsString="0" containsNumber="1" containsInteger="1" minValue="6" maxValue="12" count="2">
        <n v="6"/>
        <n v="12"/>
      </sharedItems>
    </cacheField>
    <cacheField name="Interval Units" numFmtId="0">
      <sharedItems count="1">
        <s v="Months"/>
      </sharedItems>
    </cacheField>
    <cacheField name="Trade" numFmtId="0">
      <sharedItems count="1">
        <s v="Electrical"/>
      </sharedItems>
    </cacheField>
    <cacheField name="Task Type" numFmtId="0">
      <sharedItems/>
    </cacheField>
    <cacheField name="Recommended Action" numFmtId="0">
      <sharedItems containsBlank="1" count="4">
        <s v="Write down any significant changes and identify all safety risks."/>
        <m/>
        <s v="If silica is discoloured, change for new silica canister."/>
        <s v="Buchholz should not have any gas accumulated. If gas is found, alert your supervisor, take a gas sample and analyse for combustible gases."/>
      </sharedItems>
    </cacheField>
    <cacheField name="Equipment Status" numFmtId="0">
      <sharedItems count="2">
        <s v="Online"/>
        <s v="Offline"/>
      </sharedItems>
    </cacheField>
    <cacheField name="Manning" numFmtId="0">
      <sharedItems containsSemiMixedTypes="0" containsString="0" containsNumber="1" containsInteger="1" minValue="1" maxValue="1"/>
    </cacheField>
    <cacheField name="Task Duration (hrs)" numFmtId="0">
      <sharedItems containsSemiMixedTypes="0" containsString="0" containsNumber="1" minValue="0.1" maxValue="0.5"/>
    </cacheField>
    <cacheField name="Man-hours" numFmtId="0">
      <sharedItems containsSemiMixedTypes="0" containsString="0" containsNumber="1" minValue="0.1" maxValue="0.5"/>
    </cacheField>
    <cacheField name="Task Changes" numFmtId="0">
      <sharedItems/>
    </cacheField>
    <cacheField name="Comments / Justification"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8">
  <r>
    <n v="1"/>
    <s v="TX 01"/>
    <s v="Power Transformer"/>
    <x v="0"/>
    <x v="0"/>
    <x v="0"/>
    <x v="0"/>
    <x v="0"/>
    <x v="0"/>
    <x v="0"/>
    <x v="0"/>
    <x v="0"/>
    <x v="0"/>
    <x v="0"/>
    <x v="0"/>
    <x v="0"/>
    <x v="0"/>
    <x v="0"/>
    <x v="0"/>
    <x v="0"/>
    <x v="0"/>
    <x v="0"/>
    <x v="0"/>
    <s v="Condition Monitoring"/>
    <x v="0"/>
    <x v="0"/>
    <n v="1"/>
    <n v="0.1"/>
    <n v="0.1"/>
    <s v="New Task created"/>
    <s v="Required by safety standards"/>
  </r>
  <r>
    <n v="2"/>
    <s v="TX 01"/>
    <s v="Power Transformer"/>
    <x v="0"/>
    <x v="0"/>
    <x v="0"/>
    <x v="0"/>
    <x v="0"/>
    <x v="1"/>
    <x v="1"/>
    <x v="0"/>
    <x v="0"/>
    <x v="0"/>
    <x v="0"/>
    <x v="0"/>
    <x v="0"/>
    <x v="0"/>
    <x v="1"/>
    <x v="0"/>
    <x v="0"/>
    <x v="0"/>
    <x v="0"/>
    <x v="0"/>
    <s v="Condition Monitoring"/>
    <x v="1"/>
    <x v="0"/>
    <n v="1"/>
    <n v="0.2"/>
    <n v="0.2"/>
    <s v="New Task created"/>
    <s v="Required by safety standards"/>
  </r>
  <r>
    <n v="3"/>
    <s v="TX 01"/>
    <s v="Power Transformer"/>
    <x v="0"/>
    <x v="0"/>
    <x v="0"/>
    <x v="0"/>
    <x v="0"/>
    <x v="2"/>
    <x v="2"/>
    <x v="0"/>
    <x v="0"/>
    <x v="0"/>
    <x v="0"/>
    <x v="0"/>
    <x v="0"/>
    <x v="0"/>
    <x v="1"/>
    <x v="0"/>
    <x v="0"/>
    <x v="0"/>
    <x v="0"/>
    <x v="0"/>
    <s v="Condition Monitoring"/>
    <x v="1"/>
    <x v="0"/>
    <n v="1"/>
    <n v="0.5"/>
    <n v="0.5"/>
    <s v="New Task created"/>
    <s v="Required by safety standards"/>
  </r>
  <r>
    <n v="4"/>
    <s v="TX 01"/>
    <s v="Power Transformer"/>
    <x v="0"/>
    <x v="0"/>
    <x v="0"/>
    <x v="0"/>
    <x v="0"/>
    <x v="3"/>
    <x v="3"/>
    <x v="0"/>
    <x v="0"/>
    <x v="0"/>
    <x v="0"/>
    <x v="0"/>
    <x v="0"/>
    <x v="0"/>
    <x v="1"/>
    <x v="0"/>
    <x v="0"/>
    <x v="0"/>
    <x v="0"/>
    <x v="0"/>
    <s v="Condition Monitoring"/>
    <x v="1"/>
    <x v="0"/>
    <n v="1"/>
    <n v="0.1"/>
    <n v="0.1"/>
    <s v="New Task created"/>
    <s v="Required by safety standards"/>
  </r>
  <r>
    <n v="5"/>
    <s v="TX 01"/>
    <s v="Power Transformer"/>
    <x v="0"/>
    <x v="1"/>
    <x v="1"/>
    <x v="1"/>
    <x v="1"/>
    <x v="0"/>
    <x v="4"/>
    <x v="0"/>
    <x v="0"/>
    <x v="0"/>
    <x v="0"/>
    <x v="0"/>
    <x v="1"/>
    <x v="0"/>
    <x v="1"/>
    <x v="0"/>
    <x v="1"/>
    <x v="0"/>
    <x v="0"/>
    <x v="0"/>
    <s v="Condition Monitoring"/>
    <x v="2"/>
    <x v="0"/>
    <n v="1"/>
    <n v="0.1"/>
    <n v="0.1"/>
    <s v="New Task created"/>
    <m/>
  </r>
  <r>
    <n v="6"/>
    <s v="TX 01"/>
    <s v="Power Transformer"/>
    <x v="0"/>
    <x v="2"/>
    <x v="2"/>
    <x v="1"/>
    <x v="1"/>
    <x v="0"/>
    <x v="5"/>
    <x v="0"/>
    <x v="0"/>
    <x v="0"/>
    <x v="0"/>
    <x v="0"/>
    <x v="0"/>
    <x v="1"/>
    <x v="2"/>
    <x v="1"/>
    <x v="2"/>
    <x v="0"/>
    <x v="0"/>
    <x v="0"/>
    <s v="Condition Monitoring"/>
    <x v="1"/>
    <x v="0"/>
    <n v="1"/>
    <n v="0.1"/>
    <n v="0.1"/>
    <s v="New Task created"/>
    <m/>
  </r>
  <r>
    <n v="7"/>
    <s v="TX 01"/>
    <s v="Power Transformer"/>
    <x v="0"/>
    <x v="2"/>
    <x v="2"/>
    <x v="1"/>
    <x v="1"/>
    <x v="1"/>
    <x v="6"/>
    <x v="0"/>
    <x v="0"/>
    <x v="0"/>
    <x v="0"/>
    <x v="0"/>
    <x v="0"/>
    <x v="1"/>
    <x v="1"/>
    <x v="0"/>
    <x v="0"/>
    <x v="1"/>
    <x v="0"/>
    <x v="0"/>
    <s v="Condition Monitoring"/>
    <x v="1"/>
    <x v="1"/>
    <n v="1"/>
    <n v="0.1"/>
    <n v="0.1"/>
    <s v="New Task created"/>
    <m/>
  </r>
  <r>
    <n v="8"/>
    <s v="TX 01"/>
    <s v="Power Transformer"/>
    <x v="0"/>
    <x v="3"/>
    <x v="3"/>
    <x v="1"/>
    <x v="1"/>
    <x v="0"/>
    <x v="7"/>
    <x v="0"/>
    <x v="0"/>
    <x v="0"/>
    <x v="0"/>
    <x v="0"/>
    <x v="0"/>
    <x v="0"/>
    <x v="1"/>
    <x v="0"/>
    <x v="3"/>
    <x v="1"/>
    <x v="0"/>
    <x v="0"/>
    <s v="Condition Monitoring"/>
    <x v="1"/>
    <x v="1"/>
    <n v="1"/>
    <n v="0.1"/>
    <n v="0.1"/>
    <s v="New Task created"/>
    <m/>
  </r>
  <r>
    <n v="9"/>
    <s v="TX 01"/>
    <s v="Power Transformer"/>
    <x v="0"/>
    <x v="3"/>
    <x v="3"/>
    <x v="1"/>
    <x v="1"/>
    <x v="1"/>
    <x v="8"/>
    <x v="1"/>
    <x v="0"/>
    <x v="0"/>
    <x v="0"/>
    <x v="0"/>
    <x v="0"/>
    <x v="0"/>
    <x v="1"/>
    <x v="0"/>
    <x v="4"/>
    <x v="1"/>
    <x v="0"/>
    <x v="0"/>
    <s v="Condition Monitoring"/>
    <x v="1"/>
    <x v="1"/>
    <n v="1"/>
    <n v="0.1"/>
    <n v="0.1"/>
    <s v="New Task created"/>
    <m/>
  </r>
  <r>
    <n v="10"/>
    <s v="TX 01"/>
    <s v="Power Transformer"/>
    <x v="0"/>
    <x v="3"/>
    <x v="3"/>
    <x v="1"/>
    <x v="1"/>
    <x v="2"/>
    <x v="9"/>
    <x v="0"/>
    <x v="0"/>
    <x v="0"/>
    <x v="0"/>
    <x v="0"/>
    <x v="0"/>
    <x v="0"/>
    <x v="1"/>
    <x v="0"/>
    <x v="5"/>
    <x v="0"/>
    <x v="0"/>
    <x v="0"/>
    <s v="Condition Monitoring"/>
    <x v="1"/>
    <x v="0"/>
    <n v="1"/>
    <n v="0.1"/>
    <n v="0.1"/>
    <s v="New Task created"/>
    <m/>
  </r>
  <r>
    <n v="11"/>
    <s v="TX 01"/>
    <s v="Power Transformer"/>
    <x v="0"/>
    <x v="4"/>
    <x v="4"/>
    <x v="1"/>
    <x v="1"/>
    <x v="0"/>
    <x v="10"/>
    <x v="0"/>
    <x v="0"/>
    <x v="0"/>
    <x v="0"/>
    <x v="0"/>
    <x v="0"/>
    <x v="0"/>
    <x v="1"/>
    <x v="0"/>
    <x v="0"/>
    <x v="0"/>
    <x v="0"/>
    <x v="0"/>
    <s v="Condition Monitoring"/>
    <x v="1"/>
    <x v="0"/>
    <n v="1"/>
    <n v="0.1"/>
    <n v="0.1"/>
    <s v="New Task created"/>
    <m/>
  </r>
  <r>
    <n v="12"/>
    <s v="TX 01"/>
    <s v="Power Transformer"/>
    <x v="0"/>
    <x v="5"/>
    <x v="5"/>
    <x v="1"/>
    <x v="1"/>
    <x v="0"/>
    <x v="11"/>
    <x v="0"/>
    <x v="0"/>
    <x v="0"/>
    <x v="0"/>
    <x v="0"/>
    <x v="0"/>
    <x v="0"/>
    <x v="1"/>
    <x v="0"/>
    <x v="0"/>
    <x v="0"/>
    <x v="0"/>
    <x v="0"/>
    <s v="Condition Monitoring"/>
    <x v="1"/>
    <x v="0"/>
    <n v="1"/>
    <n v="0.1"/>
    <n v="0.1"/>
    <s v="New Task created"/>
    <m/>
  </r>
  <r>
    <n v="13"/>
    <s v="TX 01"/>
    <s v="Power Transformer"/>
    <x v="0"/>
    <x v="6"/>
    <x v="6"/>
    <x v="1"/>
    <x v="1"/>
    <x v="0"/>
    <x v="12"/>
    <x v="0"/>
    <x v="0"/>
    <x v="0"/>
    <x v="0"/>
    <x v="0"/>
    <x v="0"/>
    <x v="0"/>
    <x v="1"/>
    <x v="0"/>
    <x v="6"/>
    <x v="0"/>
    <x v="0"/>
    <x v="0"/>
    <s v="Condition Monitoring"/>
    <x v="1"/>
    <x v="0"/>
    <n v="1"/>
    <n v="0.1"/>
    <n v="0.1"/>
    <s v="New Task created"/>
    <m/>
  </r>
  <r>
    <n v="14"/>
    <s v="TX 01"/>
    <s v="Power Transformer"/>
    <x v="0"/>
    <x v="7"/>
    <x v="7"/>
    <x v="1"/>
    <x v="1"/>
    <x v="0"/>
    <x v="13"/>
    <x v="0"/>
    <x v="0"/>
    <x v="0"/>
    <x v="0"/>
    <x v="0"/>
    <x v="0"/>
    <x v="0"/>
    <x v="1"/>
    <x v="0"/>
    <x v="0"/>
    <x v="0"/>
    <x v="0"/>
    <x v="0"/>
    <s v="Condition Monitoring"/>
    <x v="1"/>
    <x v="0"/>
    <n v="1"/>
    <n v="0.1"/>
    <n v="0.1"/>
    <s v="New Task created"/>
    <m/>
  </r>
  <r>
    <n v="15"/>
    <s v="TX 01"/>
    <s v="Power Transformer"/>
    <x v="0"/>
    <x v="2"/>
    <x v="2"/>
    <x v="1"/>
    <x v="1"/>
    <x v="0"/>
    <x v="14"/>
    <x v="0"/>
    <x v="0"/>
    <x v="0"/>
    <x v="0"/>
    <x v="0"/>
    <x v="0"/>
    <x v="0"/>
    <x v="1"/>
    <x v="0"/>
    <x v="0"/>
    <x v="0"/>
    <x v="0"/>
    <x v="0"/>
    <s v="Condition Monitoring"/>
    <x v="1"/>
    <x v="0"/>
    <n v="1"/>
    <n v="0.1"/>
    <n v="0.1"/>
    <s v="New Task created"/>
    <m/>
  </r>
  <r>
    <n v="16"/>
    <s v="TX 01"/>
    <s v="Power Transformer"/>
    <x v="0"/>
    <x v="8"/>
    <x v="8"/>
    <x v="1"/>
    <x v="1"/>
    <x v="0"/>
    <x v="15"/>
    <x v="0"/>
    <x v="0"/>
    <x v="0"/>
    <x v="0"/>
    <x v="0"/>
    <x v="0"/>
    <x v="0"/>
    <x v="1"/>
    <x v="0"/>
    <x v="0"/>
    <x v="0"/>
    <x v="0"/>
    <x v="0"/>
    <s v="Condition Monitoring"/>
    <x v="1"/>
    <x v="0"/>
    <n v="1"/>
    <n v="0.1"/>
    <n v="0.1"/>
    <s v="New Task created"/>
    <m/>
  </r>
  <r>
    <n v="17"/>
    <s v="TX 01"/>
    <s v="Power Transformer"/>
    <x v="0"/>
    <x v="9"/>
    <x v="9"/>
    <x v="2"/>
    <x v="2"/>
    <x v="0"/>
    <x v="16"/>
    <x v="0"/>
    <x v="0"/>
    <x v="0"/>
    <x v="0"/>
    <x v="0"/>
    <x v="0"/>
    <x v="0"/>
    <x v="1"/>
    <x v="0"/>
    <x v="4"/>
    <x v="0"/>
    <x v="0"/>
    <x v="0"/>
    <s v="Condition Monitoring"/>
    <x v="1"/>
    <x v="0"/>
    <n v="1"/>
    <n v="0.1"/>
    <n v="0.1"/>
    <s v="New Task created"/>
    <m/>
  </r>
  <r>
    <n v="18"/>
    <s v="TX 01"/>
    <s v="Power Transformer"/>
    <x v="0"/>
    <x v="10"/>
    <x v="10"/>
    <x v="1"/>
    <x v="1"/>
    <x v="0"/>
    <x v="17"/>
    <x v="1"/>
    <x v="0"/>
    <x v="0"/>
    <x v="0"/>
    <x v="0"/>
    <x v="0"/>
    <x v="0"/>
    <x v="1"/>
    <x v="0"/>
    <x v="7"/>
    <x v="1"/>
    <x v="0"/>
    <x v="0"/>
    <s v="Condition Monitoring"/>
    <x v="3"/>
    <x v="1"/>
    <n v="1"/>
    <n v="0.5"/>
    <n v="0.5"/>
    <s v="New Task created"/>
    <s v="Part of new inspection regime"/>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sksSummary" cacheId="24" applyNumberFormats="0" applyBorderFormats="0" applyFontFormats="0" applyPatternFormats="0" applyAlignmentFormats="0" applyWidthHeightFormats="1" dataCaption="Values" updatedVersion="5" minRefreshableVersion="3" showDrill="0" colGrandTotals="0" itemPrintTitles="1" createdVersion="4" indent="0" compact="0" compactData="0" gridDropZones="1" multipleFieldFilters="0" chartFormat="1">
  <location ref="B2:Q22" firstHeaderRow="2" firstDataRow="2" firstDataCol="15"/>
  <pivotFields count="31">
    <pivotField dataField="1" compact="0" outline="0" showAll="0" defaultSubtotal="0"/>
    <pivotField compact="0" outline="0" showAll="0" defaultSubtotal="0"/>
    <pivotField compact="0" outline="0" showAll="0" defaultSubtotal="0"/>
    <pivotField axis="axisRow" compact="0" outline="0" showAll="0" defaultSubtotal="0">
      <items count="1">
        <item x="0"/>
      </items>
    </pivotField>
    <pivotField axis="axisRow" compact="0" outline="0" showAll="0" defaultSubtotal="0">
      <items count="11">
        <item x="0"/>
        <item x="1"/>
        <item x="2"/>
        <item x="3"/>
        <item x="4"/>
        <item x="5"/>
        <item x="6"/>
        <item x="7"/>
        <item x="8"/>
        <item x="9"/>
        <item x="10"/>
      </items>
    </pivotField>
    <pivotField axis="axisRow" compact="0" outline="0" showAll="0" defaultSubtotal="0">
      <items count="11">
        <item x="0"/>
        <item x="1"/>
        <item x="2"/>
        <item x="3"/>
        <item x="5"/>
        <item x="6"/>
        <item x="7"/>
        <item x="9"/>
        <item x="4"/>
        <item x="8"/>
        <item x="10"/>
      </items>
    </pivotField>
    <pivotField axis="axisRow" compact="0" outline="0" showAll="0" defaultSubtotal="0">
      <items count="3">
        <item x="1"/>
        <item x="0"/>
        <item x="2"/>
      </items>
    </pivotField>
    <pivotField axis="axisRow" compact="0" outline="0" showAll="0" defaultSubtotal="0">
      <items count="3">
        <item x="1"/>
        <item x="0"/>
        <item x="2"/>
      </items>
    </pivotField>
    <pivotField axis="axisRow" compact="0" outline="0" showAll="0" sortType="ascending" defaultSubtotal="0">
      <items count="4">
        <item x="0"/>
        <item x="1"/>
        <item x="2"/>
        <item x="3"/>
      </items>
    </pivotField>
    <pivotField axis="axisRow" compact="0" outline="0" showAll="0" defaultSubtotal="0">
      <items count="18">
        <item x="0"/>
        <item x="1"/>
        <item x="2"/>
        <item x="4"/>
        <item x="5"/>
        <item x="6"/>
        <item x="7"/>
        <item x="8"/>
        <item x="9"/>
        <item x="10"/>
        <item x="13"/>
        <item x="14"/>
        <item x="15"/>
        <item x="16"/>
        <item x="11"/>
        <item x="12"/>
        <item x="3"/>
        <item x="17"/>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3">
        <item x="1"/>
        <item x="0"/>
        <item x="2"/>
      </items>
    </pivotField>
    <pivotField axis="axisRow" compact="0" outline="0" showAll="0" defaultSubtotal="0">
      <items count="2">
        <item x="0"/>
        <item x="1"/>
      </items>
    </pivotField>
    <pivotField axis="axisRow" compact="0" outline="0" showAll="0" defaultSubtotal="0">
      <items count="8">
        <item x="0"/>
        <item x="1"/>
        <item x="2"/>
        <item x="3"/>
        <item x="5"/>
        <item x="6"/>
        <item x="4"/>
        <item x="7"/>
      </items>
    </pivotField>
    <pivotField axis="axisRow" compact="0" numFmtId="49" outline="0" subtotalTop="0" showAll="0" sortType="ascending" defaultSubtotal="0">
      <items count="2">
        <item x="0"/>
        <item x="1"/>
      </items>
    </pivotField>
    <pivotField axis="axisRow" compact="0" outline="0" showAll="0" sortType="ascending" defaultSubtotal="0">
      <items count="1">
        <item x="0"/>
      </items>
    </pivotField>
    <pivotField axis="axisRow" compact="0" outline="0" showAll="0" sortType="ascending" defaultSubtotal="0">
      <items count="1">
        <item x="0"/>
      </items>
    </pivotField>
    <pivotField compact="0" outline="0" showAll="0"/>
    <pivotField axis="axisRow" compact="0" outline="0" showAll="0" defaultSubtotal="0">
      <items count="4">
        <item x="1"/>
        <item x="0"/>
        <item x="2"/>
        <item x="3"/>
      </items>
    </pivotField>
    <pivotField axis="axisRow" compact="0" outline="0" showAll="0" sortType="ascending" defaultSubtotal="0">
      <items count="2">
        <item x="1"/>
        <item x="0"/>
      </items>
    </pivotField>
    <pivotField compact="0" outline="0" showAll="0"/>
    <pivotField compact="0" outline="0" showAll="0" defaultSubtotal="0"/>
    <pivotField compact="0" outline="0" showAll="0" defaultSubtotal="0"/>
    <pivotField compact="0" outline="0" showAll="0"/>
    <pivotField compact="0" outline="0" showAll="0" defaultSubtotal="0"/>
  </pivotFields>
  <rowFields count="15">
    <field x="3"/>
    <field x="20"/>
    <field x="21"/>
    <field x="25"/>
    <field x="22"/>
    <field x="4"/>
    <field x="5"/>
    <field x="8"/>
    <field x="6"/>
    <field x="7"/>
    <field x="19"/>
    <field x="9"/>
    <field x="24"/>
    <field x="17"/>
    <field x="18"/>
  </rowFields>
  <rowItems count="19">
    <i>
      <x/>
      <x/>
      <x/>
      <x v="1"/>
      <x/>
      <x/>
      <x/>
      <x/>
      <x v="1"/>
      <x v="1"/>
      <x/>
      <x/>
      <x v="1"/>
      <x v="1"/>
      <x/>
    </i>
    <i r="7">
      <x v="1"/>
      <x v="1"/>
      <x v="1"/>
      <x/>
      <x v="1"/>
      <x/>
      <x/>
      <x/>
    </i>
    <i r="7">
      <x v="2"/>
      <x v="1"/>
      <x v="1"/>
      <x/>
      <x v="2"/>
      <x/>
      <x/>
      <x/>
    </i>
    <i r="7">
      <x v="3"/>
      <x v="1"/>
      <x v="1"/>
      <x/>
      <x v="16"/>
      <x/>
      <x/>
      <x/>
    </i>
    <i r="5">
      <x v="1"/>
      <x v="1"/>
      <x/>
      <x/>
      <x/>
      <x v="1"/>
      <x v="3"/>
      <x v="2"/>
      <x/>
      <x/>
    </i>
    <i r="5">
      <x v="2"/>
      <x v="2"/>
      <x/>
      <x/>
      <x/>
      <x/>
      <x v="11"/>
      <x/>
      <x/>
      <x/>
    </i>
    <i r="10">
      <x v="2"/>
      <x v="4"/>
      <x/>
      <x v="2"/>
      <x v="1"/>
    </i>
    <i r="5">
      <x v="3"/>
      <x v="3"/>
      <x v="2"/>
      <x/>
      <x/>
      <x v="4"/>
      <x v="8"/>
      <x/>
      <x/>
      <x/>
    </i>
    <i r="5">
      <x v="4"/>
      <x v="8"/>
      <x/>
      <x/>
      <x/>
      <x/>
      <x v="9"/>
      <x/>
      <x/>
      <x/>
    </i>
    <i r="5">
      <x v="5"/>
      <x v="4"/>
      <x/>
      <x/>
      <x/>
      <x/>
      <x v="14"/>
      <x/>
      <x/>
      <x/>
    </i>
    <i r="5">
      <x v="6"/>
      <x v="5"/>
      <x/>
      <x/>
      <x/>
      <x v="5"/>
      <x v="15"/>
      <x/>
      <x/>
      <x/>
    </i>
    <i r="5">
      <x v="7"/>
      <x v="6"/>
      <x/>
      <x/>
      <x/>
      <x/>
      <x v="10"/>
      <x/>
      <x/>
      <x/>
    </i>
    <i r="5">
      <x v="8"/>
      <x v="9"/>
      <x/>
      <x/>
      <x/>
      <x/>
      <x v="12"/>
      <x/>
      <x/>
      <x/>
    </i>
    <i r="5">
      <x v="9"/>
      <x v="7"/>
      <x/>
      <x v="2"/>
      <x v="2"/>
      <x v="6"/>
      <x v="13"/>
      <x/>
      <x/>
      <x/>
    </i>
    <i r="1">
      <x v="1"/>
      <x/>
      <x/>
      <x/>
      <x v="2"/>
      <x v="2"/>
      <x v="1"/>
      <x/>
      <x/>
      <x/>
      <x v="5"/>
      <x/>
      <x/>
      <x/>
    </i>
    <i r="5">
      <x v="3"/>
      <x v="3"/>
      <x/>
      <x/>
      <x/>
      <x v="3"/>
      <x v="6"/>
      <x/>
      <x/>
      <x/>
    </i>
    <i r="7">
      <x v="1"/>
      <x/>
      <x/>
      <x v="6"/>
      <x v="7"/>
      <x/>
      <x/>
      <x/>
    </i>
    <i r="5">
      <x v="10"/>
      <x v="10"/>
      <x/>
      <x/>
      <x/>
      <x v="7"/>
      <x v="17"/>
      <x v="3"/>
      <x/>
      <x/>
    </i>
    <i t="grand">
      <x/>
    </i>
  </rowItems>
  <colItems count="1">
    <i/>
  </colItems>
  <dataFields count="1">
    <dataField name="Count of ID" fld="0" subtotal="count" baseField="0" baseItem="0"/>
  </dataFields>
  <formats count="15">
    <format dxfId="29">
      <pivotArea dataOnly="0" labelOnly="1" grandCol="1" outline="0" fieldPosition="0"/>
    </format>
    <format dxfId="28">
      <pivotArea dataOnly="0" labelOnly="1" grandCol="1" outline="0" fieldPosition="0"/>
    </format>
    <format dxfId="27">
      <pivotArea field="20" type="button" dataOnly="0" labelOnly="1" outline="0" axis="axisRow" fieldPosition="1"/>
    </format>
    <format dxfId="26">
      <pivotArea field="21" type="button" dataOnly="0" labelOnly="1" outline="0" axis="axisRow" fieldPosition="2"/>
    </format>
    <format dxfId="25">
      <pivotArea field="25" type="button" dataOnly="0" labelOnly="1" outline="0" axis="axisRow" fieldPosition="3"/>
    </format>
    <format dxfId="24">
      <pivotArea dataOnly="0" labelOnly="1" outline="0" fieldPosition="0">
        <references count="1">
          <reference field="22" count="0"/>
        </references>
      </pivotArea>
    </format>
    <format dxfId="23">
      <pivotArea dataOnly="0" labelOnly="1" grandRow="1" outline="0" fieldPosition="0"/>
    </format>
    <format dxfId="22">
      <pivotArea dataOnly="0" labelOnly="1" outline="0" fieldPosition="0">
        <references count="1">
          <reference field="21" count="0"/>
        </references>
      </pivotArea>
    </format>
    <format dxfId="21">
      <pivotArea field="22" type="button" dataOnly="0" labelOnly="1" outline="0" axis="axisRow" fieldPosition="4"/>
    </format>
    <format dxfId="20">
      <pivotArea field="9" type="button" dataOnly="0" labelOnly="1" outline="0" axis="axisRow" fieldPosition="11"/>
    </format>
    <format dxfId="19">
      <pivotArea dataOnly="0" labelOnly="1" grandRow="1" outline="0" fieldPosition="0"/>
    </format>
    <format dxfId="18">
      <pivotArea dataOnly="0" labelOnly="1" fieldPosition="0">
        <references count="1">
          <reference field="9" count="0"/>
        </references>
      </pivotArea>
    </format>
    <format dxfId="17">
      <pivotArea field="8" type="button" dataOnly="0" labelOnly="1" outline="0" axis="axisRow" fieldPosition="7"/>
    </format>
    <format dxfId="16">
      <pivotArea field="6" type="button" dataOnly="0" labelOnly="1" outline="0" axis="axisRow" fieldPosition="8"/>
    </format>
    <format dxfId="15">
      <pivotArea field="7" type="button" dataOnly="0" labelOnly="1" outline="0" axis="axisRow" fieldPosition="9"/>
    </format>
  </formats>
  <pivotTableStyleInfo name="PivotStyleLight16" showRowHeaders="1" showColHeaders="1" showRowStripes="1" showColStripes="0" showLastColumn="1"/>
</pivotTableDefinition>
</file>

<file path=xl/pivotTables/pivotTable2.xml><?xml version="1.0" encoding="utf-8"?>
<pivotTableDefinition xmlns="http://schemas.openxmlformats.org/spreadsheetml/2006/main" name="FrontPageTools" cacheId="24" applyNumberFormats="0" applyBorderFormats="0" applyFontFormats="0" applyPatternFormats="0" applyAlignmentFormats="0" applyWidthHeightFormats="1" dataCaption="Values" showMissing="0" updatedVersion="5" minRefreshableVersion="3" showDrill="0" rowGrandTotals="0" colGrandTotals="0" itemPrintTitles="1" createdVersion="4" indent="0" compact="0" compactData="0" gridDropZones="1" multipleFieldFilters="0">
  <location ref="A3:L10" firstHeaderRow="2" firstDataRow="2" firstDataCol="11"/>
  <pivotFields count="31">
    <pivotField dataField="1"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axis="axisRow" compact="0" outline="0" showAll="0" defaultSubtotal="0">
      <items count="2">
        <item x="0"/>
        <item x="1"/>
      </items>
    </pivotField>
    <pivotField axis="axisRow" compact="0" outline="0" showAll="0" defaultSubtotal="0">
      <items count="1">
        <item x="0"/>
      </items>
    </pivotField>
    <pivotField axis="axisRow" compact="0" outline="0" showAll="0" defaultSubtotal="0">
      <items count="1">
        <item x="0"/>
      </items>
    </pivotField>
    <pivotField axis="axisRow" compact="0" outline="0" showAll="0" defaultSubtotal="0">
      <items count="1">
        <item x="0"/>
      </items>
    </pivotField>
    <pivotField axis="axisRow" compact="0" outline="0" showAll="0" defaultSubtotal="0">
      <items count="1">
        <item x="0"/>
      </items>
    </pivotField>
    <pivotField axis="axisRow" compact="0" outline="0" showAll="0" defaultSubtotal="0">
      <items count="2">
        <item x="0"/>
        <item x="1"/>
      </items>
    </pivotField>
    <pivotField axis="axisRow" compact="0" outline="0" showAll="0" defaultSubtotal="0">
      <items count="2">
        <item x="0"/>
        <item x="1"/>
      </items>
    </pivotField>
    <pivotField compact="0" outline="0" showAll="0" defaultSubtotal="0"/>
    <pivotField compact="0" outline="0" showAll="0" defaultSubtotal="0"/>
    <pivotField compact="0" outline="0" showAll="0" defaultSubtotal="0"/>
    <pivotField axis="axisRow" compact="0" outline="0" showAll="0" defaultSubtotal="0">
      <items count="2">
        <item x="0"/>
        <item x="1"/>
      </items>
    </pivotField>
    <pivotField axis="axisRow" compact="0" outline="0" showAll="0" defaultSubtotal="0">
      <items count="1">
        <item x="0"/>
      </items>
    </pivotField>
    <pivotField axis="axisRow" compact="0" outline="0" showAll="0" defaultSubtotal="0">
      <items count="1">
        <item x="0"/>
      </items>
    </pivotField>
    <pivotField compact="0" outline="0" showAll="0"/>
    <pivotField compact="0" outline="0" showAll="0" defaultSubtotal="0"/>
    <pivotField axis="axisRow" compact="0" outline="0" showAll="0" defaultSubtotal="0">
      <items count="2">
        <item x="0"/>
        <item x="1"/>
      </items>
    </pivotField>
    <pivotField compact="0" outline="0" showAll="0"/>
    <pivotField compact="0" outline="0" showAll="0" defaultSubtotal="0"/>
    <pivotField compact="0" outline="0" showAll="0" defaultSubtotal="0"/>
    <pivotField compact="0" outline="0" showAll="0"/>
    <pivotField compact="0" outline="0" showAll="0" defaultSubtotal="0"/>
  </pivotFields>
  <rowFields count="11">
    <field x="20"/>
    <field x="21"/>
    <field x="25"/>
    <field x="22"/>
    <field x="10"/>
    <field x="11"/>
    <field x="12"/>
    <field x="13"/>
    <field x="14"/>
    <field x="15"/>
    <field x="16"/>
  </rowFields>
  <rowItems count="6">
    <i>
      <x/>
      <x/>
      <x/>
      <x/>
      <x/>
      <x/>
      <x/>
      <x/>
      <x/>
      <x/>
      <x/>
    </i>
    <i r="10">
      <x v="1"/>
    </i>
    <i r="9">
      <x v="1"/>
      <x/>
    </i>
    <i>
      <x v="1"/>
      <x/>
      <x v="1"/>
      <x/>
      <x/>
      <x/>
      <x/>
      <x/>
      <x/>
      <x/>
      <x/>
    </i>
    <i r="10">
      <x v="1"/>
    </i>
    <i r="4">
      <x v="1"/>
      <x/>
      <x/>
      <x/>
      <x/>
      <x/>
      <x/>
    </i>
  </rowItems>
  <colItems count="1">
    <i/>
  </colItems>
  <dataFields count="1">
    <dataField name="Count of ID" fld="0" subtotal="count" baseField="17" baseItem="0"/>
  </dataFields>
  <formats count="6">
    <format dxfId="6">
      <pivotArea dataOnly="0" labelOnly="1" outline="0" fieldPosition="0">
        <references count="1">
          <reference field="15" count="0"/>
        </references>
      </pivotArea>
    </format>
    <format dxfId="5">
      <pivotArea dataOnly="0" labelOnly="1" outline="0" fieldPosition="0">
        <references count="1">
          <reference field="14" count="0"/>
        </references>
      </pivotArea>
    </format>
    <format dxfId="4">
      <pivotArea dataOnly="0" labelOnly="1" outline="0" fieldPosition="0">
        <references count="1">
          <reference field="13" count="0"/>
        </references>
      </pivotArea>
    </format>
    <format dxfId="3">
      <pivotArea dataOnly="0" labelOnly="1" outline="0" fieldPosition="0">
        <references count="1">
          <reference field="12" count="0"/>
        </references>
      </pivotArea>
    </format>
    <format dxfId="2">
      <pivotArea dataOnly="0" labelOnly="1" outline="0" fieldPosition="0">
        <references count="1">
          <reference field="11" count="0"/>
        </references>
      </pivotArea>
    </format>
    <format dxfId="1">
      <pivotArea dataOnly="0" labelOnly="1" outline="0" fieldPosition="0">
        <references count="1">
          <reference field="10" count="0"/>
        </references>
      </pivotArea>
    </format>
  </formats>
  <pivotTableStyleInfo name="PivotStyleMedium2" showRowHeaders="1" showColHeaders="1" showRowStripes="1" showColStripes="0" showLastColumn="1"/>
</pivotTableDefinition>
</file>

<file path=xl/tables/table1.xml><?xml version="1.0" encoding="utf-8"?>
<table xmlns="http://schemas.openxmlformats.org/spreadsheetml/2006/main" id="5" name="SettingsTable" displayName="SettingsTable" ref="B3:D98" totalsRowShown="0">
  <autoFilter ref="B3:D98"/>
  <tableColumns count="3">
    <tableColumn id="3" name="Settings Category" dataDxfId="62"/>
    <tableColumn id="1" name="Setting Name" dataDxfId="61"/>
    <tableColumn id="2" name="Setting Value" dataDxfId="60"/>
  </tableColumns>
  <tableStyleInfo name="TableStyleMedium2" showFirstColumn="0" showLastColumn="0" showRowStripes="1" showColumnStripes="0"/>
</table>
</file>

<file path=xl/tables/table2.xml><?xml version="1.0" encoding="utf-8"?>
<table xmlns="http://schemas.openxmlformats.org/spreadsheetml/2006/main" id="2" name="tblWorkInstructions" displayName="tblWorkInstructions" ref="B2:AF20" totalsRowShown="0">
  <autoFilter ref="B2:AF20"/>
  <tableColumns count="31">
    <tableColumn id="1" name="ID" dataCellStyle="Normal">
      <calculatedColumnFormula>ROW(tblWorkInstructions[[#This Row],[ID]])-ROW(tblWorkInstructions[[#Headers],[ID]])</calculatedColumnFormula>
    </tableColumn>
    <tableColumn id="8" name="Equipment Number" totalsRowDxfId="59" dataCellStyle="Normal"/>
    <tableColumn id="9" name="Equipment Description" totalsRowDxfId="58" dataCellStyle="Normal"/>
    <tableColumn id="4" name="Work Instruction Title" totalsRowDxfId="57" dataCellStyle="Normal"/>
    <tableColumn id="10" name="Step" totalsRowDxfId="56" dataCellStyle="Normal"/>
    <tableColumn id="11" name="Step Description" totalsRowDxfId="55" dataCellStyle="Normal"/>
    <tableColumn id="40" name="Row Headers" totalsRowDxfId="54" dataCellStyle="Normal"/>
    <tableColumn id="41" name="Column Headers" totalsRowDxfId="53" dataCellStyle="Normal"/>
    <tableColumn id="35" name="Task Sequence" totalsRowDxfId="52" dataCellStyle="Normal"/>
    <tableColumn id="17" name="Task" dataDxfId="51" dataCellStyle="Normal"/>
    <tableColumn id="31" name="Tools" totalsRowDxfId="50" dataCellStyle="Normal"/>
    <tableColumn id="32" name="Materials" totalsRowDxfId="49" dataCellStyle="Normal"/>
    <tableColumn id="33" name="Special Notes" totalsRowDxfId="48" dataCellStyle="Normal"/>
    <tableColumn id="37" name="Special Permits" totalsRowDxfId="47" dataCellStyle="Normal"/>
    <tableColumn id="36" name="Special PPE" totalsRowDxfId="46" dataCellStyle="Normal"/>
    <tableColumn id="38" name="Special Hazards" totalsRowDxfId="45" dataCellStyle="Normal"/>
    <tableColumn id="39" name="Manual References" totalsRowDxfId="44" dataCellStyle="Normal"/>
    <tableColumn id="45" name="Safety Warning Label" dataCellStyle="Normal"/>
    <tableColumn id="44" name="In-task Photo" totalsRowDxfId="43" dataCellStyle="Normal"/>
    <tableColumn id="34" name="Top Photo" totalsRowDxfId="42" dataCellStyle="Normal"/>
    <tableColumn id="18" name="Interval" totalsRowDxfId="41" dataCellStyle="Normal"/>
    <tableColumn id="19" name="Interval Units" totalsRowDxfId="40" dataCellStyle="Normal"/>
    <tableColumn id="20" name="Trade" totalsRowDxfId="39" dataCellStyle="Normal"/>
    <tableColumn id="21" name="Task Type" totalsRowDxfId="38" dataCellStyle="Normal"/>
    <tableColumn id="42" name="Recommended Action" dataDxfId="37" totalsRowDxfId="36" dataCellStyle="Normal"/>
    <tableColumn id="24" name="Equipment Status" totalsRowDxfId="35" dataCellStyle="Normal"/>
    <tableColumn id="25" name="Manning" totalsRowDxfId="34" dataCellStyle="Normal"/>
    <tableColumn id="26" name="Task Duration (hrs)" totalsRowDxfId="33" dataCellStyle="Normal"/>
    <tableColumn id="43" name="Man-hours" totalsRowDxfId="32" dataCellStyle="Normal">
      <calculatedColumnFormula>tblWorkInstructions[[#This Row],[Manning]]*tblWorkInstructions[[#This Row],[Task Duration (hrs)]]</calculatedColumnFormula>
    </tableColumn>
    <tableColumn id="27" name="Task Changes" totalsRowDxfId="31" dataCellStyle="Normal"/>
    <tableColumn id="28" name="Comments / Justification" totalsRowDxfId="30" dataCellStyle="Normal"/>
  </tableColumns>
  <tableStyleInfo name="TableStyleMedium2" showFirstColumn="0" showLastColumn="0" showRowStripes="1" showColumnStripes="0"/>
</table>
</file>

<file path=xl/tables/table3.xml><?xml version="1.0" encoding="utf-8"?>
<table xmlns="http://schemas.openxmlformats.org/spreadsheetml/2006/main" id="1" name="tblGeneratedFilesLog" displayName="tblGeneratedFilesLog" ref="A1:E3" headerRowDxfId="14">
  <autoFilter ref="A1:E3"/>
  <tableColumns count="5">
    <tableColumn id="1" name="File Name" totalsRowFunction="custom" totalsRowDxfId="13" dataCellStyle="Hyperlink">
      <calculatedColumnFormula>HYPERLINK("G:\Programming\EngineersTools\WinWriter\Work Instructions\Main Power Transformer 6 Months Electrical Online Inspection.docx","Main Power Transformer 6 Months Electrical Online Inspection")</calculatedColumnFormula>
      <totalsRowFormula>HYPERLINK("FILE3","FILE3")</totalsRowFormula>
    </tableColumn>
    <tableColumn id="2" name="Generated on" totalsRowLabel="7/04/2012" totalsRowDxfId="12"/>
    <tableColumn id="3" name="Generated by" totalsRowLabel="CARLOS3" totalsRowDxfId="11"/>
    <tableColumn id="4" name="Saved to" totalsRowFunction="custom" dataDxfId="10" totalsRowDxfId="9" dataCellStyle="Hyperlink">
      <calculatedColumnFormula>HYPERLINK("G:\Programming\EngineersTools\WinWriter\Work Instructions\","G:\Programming\EngineersTools\WinWriter\Work Instructions\")</calculatedColumnFormula>
      <totalsRowFormula>HYPERLINK("FOLDER3","FOLDER3")</totalsRowFormula>
    </tableColumn>
    <tableColumn id="5" name="Template" totalsRowFunction="custom" dataDxfId="8" totalsRowDxfId="7" dataCellStyle="Hyperlink">
      <calculatedColumnFormula>HYPERLINK("G:\Programming\EngineersTools\WinWriter\Work Instruction Template.dotm","G:\Programming\EngineersTools\WinWriter\Work Instruction Template.dotm")</calculatedColumnFormula>
      <totalsRowFormula>HYPERLINK("TEMPLATE8","TEMPLATE8")</totalsRow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mailto:carlos.gamez@engineers.tools" TargetMode="External"/><Relationship Id="rId5" Type="http://schemas.openxmlformats.org/officeDocument/2006/relationships/comments" Target="../comments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DocumentControl"/>
  <dimension ref="A1:E107"/>
  <sheetViews>
    <sheetView showGridLines="0" showRowColHeaders="0" workbookViewId="0">
      <pane ySplit="3" topLeftCell="A22" activePane="bottomLeft" state="frozenSplit"/>
      <selection pane="bottomLeft" activeCell="D40" sqref="D40"/>
    </sheetView>
  </sheetViews>
  <sheetFormatPr defaultColWidth="0" defaultRowHeight="12.75" zeroHeight="1" x14ac:dyDescent="0.2"/>
  <cols>
    <col min="1" max="1" width="3.5703125" customWidth="1"/>
    <col min="2" max="2" width="27.140625" bestFit="1" customWidth="1"/>
    <col min="3" max="3" width="39.7109375" style="10" bestFit="1" customWidth="1"/>
    <col min="4" max="4" width="57.28515625" bestFit="1" customWidth="1"/>
    <col min="5" max="5" width="2.85546875" customWidth="1"/>
    <col min="6" max="16384" width="8.85546875" hidden="1"/>
  </cols>
  <sheetData>
    <row r="1" spans="2:4" hidden="1" x14ac:dyDescent="0.2"/>
    <row r="2" spans="2:4" hidden="1" x14ac:dyDescent="0.2"/>
    <row r="3" spans="2:4" x14ac:dyDescent="0.2">
      <c r="B3" s="8" t="s">
        <v>79</v>
      </c>
      <c r="C3" s="8" t="s">
        <v>53</v>
      </c>
      <c r="D3" s="11" t="s">
        <v>54</v>
      </c>
    </row>
    <row r="4" spans="2:4" x14ac:dyDescent="0.2">
      <c r="B4" s="8" t="s">
        <v>144</v>
      </c>
      <c r="C4" s="2" t="s">
        <v>145</v>
      </c>
      <c r="D4" s="12" t="s">
        <v>200</v>
      </c>
    </row>
    <row r="5" spans="2:4" x14ac:dyDescent="0.2">
      <c r="B5" s="8" t="s">
        <v>144</v>
      </c>
      <c r="C5" s="2" t="s">
        <v>146</v>
      </c>
      <c r="D5" s="12" t="s">
        <v>219</v>
      </c>
    </row>
    <row r="6" spans="2:4" x14ac:dyDescent="0.2">
      <c r="B6" s="8" t="s">
        <v>144</v>
      </c>
      <c r="C6" s="2" t="s">
        <v>148</v>
      </c>
      <c r="D6" s="26">
        <v>43126</v>
      </c>
    </row>
    <row r="7" spans="2:4" s="24" customFormat="1" x14ac:dyDescent="0.2">
      <c r="B7" s="25" t="s">
        <v>144</v>
      </c>
      <c r="C7" s="2" t="s">
        <v>179</v>
      </c>
      <c r="D7" s="12" t="s">
        <v>159</v>
      </c>
    </row>
    <row r="8" spans="2:4" s="24" customFormat="1" x14ac:dyDescent="0.2">
      <c r="B8" s="25" t="s">
        <v>144</v>
      </c>
      <c r="C8" s="2" t="s">
        <v>157</v>
      </c>
      <c r="D8" s="32" t="s">
        <v>218</v>
      </c>
    </row>
    <row r="9" spans="2:4" s="24" customFormat="1" x14ac:dyDescent="0.2">
      <c r="B9" s="25" t="s">
        <v>144</v>
      </c>
      <c r="C9" s="2" t="s">
        <v>158</v>
      </c>
      <c r="D9" s="12" t="s">
        <v>160</v>
      </c>
    </row>
    <row r="10" spans="2:4" x14ac:dyDescent="0.2">
      <c r="B10" s="8"/>
      <c r="C10" s="2"/>
      <c r="D10" s="12"/>
    </row>
    <row r="11" spans="2:4" x14ac:dyDescent="0.2">
      <c r="B11" s="25" t="s">
        <v>243</v>
      </c>
      <c r="C11" s="37" t="s">
        <v>106</v>
      </c>
      <c r="D11" s="34" t="s">
        <v>201</v>
      </c>
    </row>
    <row r="12" spans="2:4" x14ac:dyDescent="0.2">
      <c r="B12" s="25" t="s">
        <v>243</v>
      </c>
      <c r="C12" s="2" t="s">
        <v>45</v>
      </c>
      <c r="D12" s="12" t="s">
        <v>266</v>
      </c>
    </row>
    <row r="13" spans="2:4" x14ac:dyDescent="0.2">
      <c r="B13" s="25" t="s">
        <v>243</v>
      </c>
      <c r="C13" s="2" t="s">
        <v>46</v>
      </c>
      <c r="D13" s="12" t="s">
        <v>247</v>
      </c>
    </row>
    <row r="14" spans="2:4" x14ac:dyDescent="0.2">
      <c r="B14" s="25" t="s">
        <v>243</v>
      </c>
      <c r="C14" s="2" t="s">
        <v>47</v>
      </c>
      <c r="D14" s="12" t="s">
        <v>267</v>
      </c>
    </row>
    <row r="15" spans="2:4" x14ac:dyDescent="0.2">
      <c r="B15" s="25" t="s">
        <v>243</v>
      </c>
      <c r="C15" s="2" t="s">
        <v>49</v>
      </c>
      <c r="D15" s="13" t="s">
        <v>11</v>
      </c>
    </row>
    <row r="16" spans="2:4" x14ac:dyDescent="0.2">
      <c r="B16" s="25" t="s">
        <v>243</v>
      </c>
      <c r="C16" s="2" t="s">
        <v>50</v>
      </c>
      <c r="D16" s="12" t="s">
        <v>12</v>
      </c>
    </row>
    <row r="17" spans="2:4" x14ac:dyDescent="0.2">
      <c r="B17" s="25" t="s">
        <v>243</v>
      </c>
      <c r="C17" s="2" t="s">
        <v>76</v>
      </c>
      <c r="D17" s="13" t="s">
        <v>77</v>
      </c>
    </row>
    <row r="18" spans="2:4" x14ac:dyDescent="0.2">
      <c r="B18" s="25" t="s">
        <v>243</v>
      </c>
      <c r="C18" s="2" t="s">
        <v>221</v>
      </c>
      <c r="D18" s="12" t="s">
        <v>217</v>
      </c>
    </row>
    <row r="19" spans="2:4" x14ac:dyDescent="0.2">
      <c r="B19" s="25" t="s">
        <v>243</v>
      </c>
      <c r="C19" s="2" t="s">
        <v>222</v>
      </c>
      <c r="D19" s="13" t="s">
        <v>18</v>
      </c>
    </row>
    <row r="20" spans="2:4" x14ac:dyDescent="0.2">
      <c r="B20" s="25" t="s">
        <v>243</v>
      </c>
      <c r="C20" s="2" t="s">
        <v>223</v>
      </c>
      <c r="D20" s="13" t="s">
        <v>19</v>
      </c>
    </row>
    <row r="21" spans="2:4" x14ac:dyDescent="0.2">
      <c r="B21" s="25" t="s">
        <v>243</v>
      </c>
      <c r="C21" s="2" t="s">
        <v>224</v>
      </c>
      <c r="D21" s="13" t="s">
        <v>39</v>
      </c>
    </row>
    <row r="22" spans="2:4" x14ac:dyDescent="0.2">
      <c r="B22" s="25" t="s">
        <v>243</v>
      </c>
      <c r="C22" s="2" t="s">
        <v>225</v>
      </c>
      <c r="D22" s="13" t="s">
        <v>14</v>
      </c>
    </row>
    <row r="23" spans="2:4" x14ac:dyDescent="0.2">
      <c r="B23" s="25" t="s">
        <v>243</v>
      </c>
      <c r="C23" s="2" t="s">
        <v>226</v>
      </c>
      <c r="D23" s="13" t="s">
        <v>211</v>
      </c>
    </row>
    <row r="24" spans="2:4" x14ac:dyDescent="0.2">
      <c r="B24" s="25" t="s">
        <v>243</v>
      </c>
      <c r="C24" s="2" t="s">
        <v>227</v>
      </c>
      <c r="D24" s="13" t="s">
        <v>212</v>
      </c>
    </row>
    <row r="25" spans="2:4" x14ac:dyDescent="0.2">
      <c r="B25" s="25" t="s">
        <v>243</v>
      </c>
      <c r="C25" s="2" t="s">
        <v>228</v>
      </c>
      <c r="D25" s="12" t="s">
        <v>139</v>
      </c>
    </row>
    <row r="26" spans="2:4" x14ac:dyDescent="0.2">
      <c r="B26" s="25" t="s">
        <v>243</v>
      </c>
      <c r="C26" s="2" t="s">
        <v>229</v>
      </c>
      <c r="D26" s="12" t="s">
        <v>140</v>
      </c>
    </row>
    <row r="27" spans="2:4" x14ac:dyDescent="0.2">
      <c r="B27" s="25" t="s">
        <v>243</v>
      </c>
      <c r="C27" s="2" t="s">
        <v>230</v>
      </c>
      <c r="D27" s="13" t="s">
        <v>2</v>
      </c>
    </row>
    <row r="28" spans="2:4" s="24" customFormat="1" x14ac:dyDescent="0.2">
      <c r="B28" s="25" t="s">
        <v>243</v>
      </c>
      <c r="C28" s="2" t="s">
        <v>231</v>
      </c>
      <c r="D28" s="12" t="s">
        <v>162</v>
      </c>
    </row>
    <row r="29" spans="2:4" s="24" customFormat="1" x14ac:dyDescent="0.2">
      <c r="B29" s="25" t="s">
        <v>243</v>
      </c>
      <c r="C29" s="33" t="s">
        <v>232</v>
      </c>
      <c r="D29" s="34" t="s">
        <v>161</v>
      </c>
    </row>
    <row r="30" spans="2:4" x14ac:dyDescent="0.2">
      <c r="B30" s="25" t="s">
        <v>243</v>
      </c>
      <c r="C30" s="33" t="s">
        <v>233</v>
      </c>
      <c r="D30" s="34" t="s">
        <v>163</v>
      </c>
    </row>
    <row r="31" spans="2:4" x14ac:dyDescent="0.2">
      <c r="B31" s="25" t="s">
        <v>243</v>
      </c>
      <c r="C31" s="2" t="s">
        <v>234</v>
      </c>
      <c r="D31" s="12" t="s">
        <v>72</v>
      </c>
    </row>
    <row r="32" spans="2:4" x14ac:dyDescent="0.2">
      <c r="B32" s="25" t="s">
        <v>243</v>
      </c>
      <c r="C32" s="2" t="s">
        <v>235</v>
      </c>
      <c r="D32" s="12" t="s">
        <v>73</v>
      </c>
    </row>
    <row r="33" spans="2:4" x14ac:dyDescent="0.2">
      <c r="B33" s="25" t="s">
        <v>243</v>
      </c>
      <c r="C33" s="2" t="s">
        <v>236</v>
      </c>
      <c r="D33" s="12" t="s">
        <v>74</v>
      </c>
    </row>
    <row r="34" spans="2:4" x14ac:dyDescent="0.2">
      <c r="B34" s="25" t="s">
        <v>243</v>
      </c>
      <c r="C34" s="2" t="s">
        <v>237</v>
      </c>
      <c r="D34" s="12" t="s">
        <v>130</v>
      </c>
    </row>
    <row r="35" spans="2:4" x14ac:dyDescent="0.2">
      <c r="B35" s="25" t="s">
        <v>243</v>
      </c>
      <c r="C35" s="2" t="s">
        <v>238</v>
      </c>
      <c r="D35" s="12" t="s">
        <v>131</v>
      </c>
    </row>
    <row r="36" spans="2:4" x14ac:dyDescent="0.2">
      <c r="B36" s="25" t="s">
        <v>243</v>
      </c>
      <c r="C36" s="2" t="s">
        <v>239</v>
      </c>
      <c r="D36" s="12" t="s">
        <v>132</v>
      </c>
    </row>
    <row r="37" spans="2:4" x14ac:dyDescent="0.2">
      <c r="B37" s="25" t="s">
        <v>243</v>
      </c>
      <c r="C37" s="2" t="s">
        <v>240</v>
      </c>
      <c r="D37" s="12" t="s">
        <v>198</v>
      </c>
    </row>
    <row r="38" spans="2:4" x14ac:dyDescent="0.2">
      <c r="B38" s="25" t="s">
        <v>243</v>
      </c>
      <c r="C38" s="37" t="s">
        <v>180</v>
      </c>
      <c r="D38" s="34">
        <v>1</v>
      </c>
    </row>
    <row r="39" spans="2:4" x14ac:dyDescent="0.2">
      <c r="B39" s="25" t="s">
        <v>243</v>
      </c>
      <c r="C39" s="2" t="s">
        <v>241</v>
      </c>
      <c r="D39" s="12" t="s">
        <v>253</v>
      </c>
    </row>
    <row r="40" spans="2:4" s="24" customFormat="1" x14ac:dyDescent="0.2">
      <c r="B40" s="25" t="s">
        <v>243</v>
      </c>
      <c r="C40" s="2" t="s">
        <v>242</v>
      </c>
      <c r="D40" s="12" t="s">
        <v>301</v>
      </c>
    </row>
    <row r="41" spans="2:4" s="24" customFormat="1" x14ac:dyDescent="0.2">
      <c r="B41" s="25" t="s">
        <v>243</v>
      </c>
      <c r="C41" s="2" t="s">
        <v>156</v>
      </c>
      <c r="D41" s="12" t="s">
        <v>324</v>
      </c>
    </row>
    <row r="42" spans="2:4" x14ac:dyDescent="0.2">
      <c r="B42" s="25" t="s">
        <v>243</v>
      </c>
      <c r="C42" s="2" t="s">
        <v>166</v>
      </c>
      <c r="D42" s="12" t="s">
        <v>45</v>
      </c>
    </row>
    <row r="43" spans="2:4" x14ac:dyDescent="0.2">
      <c r="B43" s="25" t="s">
        <v>243</v>
      </c>
      <c r="C43" s="2" t="s">
        <v>167</v>
      </c>
      <c r="D43" s="12" t="s">
        <v>187</v>
      </c>
    </row>
    <row r="44" spans="2:4" x14ac:dyDescent="0.2">
      <c r="B44" s="8"/>
      <c r="C44" s="2"/>
      <c r="D44" s="14"/>
    </row>
    <row r="45" spans="2:4" x14ac:dyDescent="0.2">
      <c r="B45" s="8" t="s">
        <v>81</v>
      </c>
      <c r="C45" s="2" t="s">
        <v>220</v>
      </c>
      <c r="D45" s="15" t="s">
        <v>323</v>
      </c>
    </row>
    <row r="46" spans="2:4" x14ac:dyDescent="0.2">
      <c r="B46" s="8" t="s">
        <v>81</v>
      </c>
      <c r="C46" s="2" t="s">
        <v>176</v>
      </c>
      <c r="D46" s="12" t="s">
        <v>120</v>
      </c>
    </row>
    <row r="47" spans="2:4" x14ac:dyDescent="0.2">
      <c r="B47" s="25" t="s">
        <v>81</v>
      </c>
      <c r="C47" s="2" t="s">
        <v>177</v>
      </c>
      <c r="D47" s="34" t="s">
        <v>178</v>
      </c>
    </row>
    <row r="48" spans="2:4" x14ac:dyDescent="0.2">
      <c r="B48" s="8"/>
      <c r="C48" s="2"/>
      <c r="D48" s="12"/>
    </row>
    <row r="49" spans="2:4" x14ac:dyDescent="0.2">
      <c r="B49" s="8" t="s">
        <v>105</v>
      </c>
      <c r="C49" s="2" t="s">
        <v>78</v>
      </c>
      <c r="D49" s="12">
        <v>1</v>
      </c>
    </row>
    <row r="50" spans="2:4" x14ac:dyDescent="0.2">
      <c r="B50" s="8"/>
      <c r="C50" s="2"/>
      <c r="D50" s="14"/>
    </row>
    <row r="51" spans="2:4" ht="25.5" x14ac:dyDescent="0.2">
      <c r="B51" s="8" t="s">
        <v>102</v>
      </c>
      <c r="C51" s="2" t="s">
        <v>48</v>
      </c>
      <c r="D51" s="16" t="s">
        <v>325</v>
      </c>
    </row>
    <row r="52" spans="2:4" x14ac:dyDescent="0.2">
      <c r="B52" s="8" t="s">
        <v>102</v>
      </c>
      <c r="C52" s="2" t="s">
        <v>52</v>
      </c>
      <c r="D52" s="15" t="s">
        <v>326</v>
      </c>
    </row>
    <row r="53" spans="2:4" x14ac:dyDescent="0.2">
      <c r="B53" s="8" t="s">
        <v>102</v>
      </c>
      <c r="C53" s="2" t="s">
        <v>123</v>
      </c>
      <c r="D53" s="16" t="s">
        <v>310</v>
      </c>
    </row>
    <row r="54" spans="2:4" x14ac:dyDescent="0.2">
      <c r="B54" s="8" t="s">
        <v>102</v>
      </c>
      <c r="C54" s="2" t="s">
        <v>80</v>
      </c>
      <c r="D54" s="16" t="s">
        <v>308</v>
      </c>
    </row>
    <row r="55" spans="2:4" x14ac:dyDescent="0.2">
      <c r="B55" s="8" t="s">
        <v>102</v>
      </c>
      <c r="C55" s="2" t="s">
        <v>121</v>
      </c>
      <c r="D55" s="16">
        <v>0</v>
      </c>
    </row>
    <row r="56" spans="2:4" s="24" customFormat="1" x14ac:dyDescent="0.2">
      <c r="B56" s="8" t="s">
        <v>102</v>
      </c>
      <c r="C56" s="2" t="s">
        <v>61</v>
      </c>
      <c r="D56" s="12" t="s">
        <v>309</v>
      </c>
    </row>
    <row r="57" spans="2:4" x14ac:dyDescent="0.2">
      <c r="B57" s="8" t="s">
        <v>102</v>
      </c>
      <c r="C57" s="2" t="s">
        <v>122</v>
      </c>
      <c r="D57" s="12">
        <v>0</v>
      </c>
    </row>
    <row r="58" spans="2:4" x14ac:dyDescent="0.2">
      <c r="B58" s="8" t="s">
        <v>102</v>
      </c>
      <c r="C58" s="2" t="s">
        <v>70</v>
      </c>
      <c r="D58" s="12" t="s">
        <v>150</v>
      </c>
    </row>
    <row r="59" spans="2:4" x14ac:dyDescent="0.2">
      <c r="B59" s="25" t="s">
        <v>102</v>
      </c>
      <c r="C59" s="2" t="s">
        <v>165</v>
      </c>
      <c r="D59" s="12" t="s">
        <v>185</v>
      </c>
    </row>
    <row r="60" spans="2:4" x14ac:dyDescent="0.2">
      <c r="B60" s="25" t="s">
        <v>102</v>
      </c>
      <c r="C60" s="37" t="s">
        <v>182</v>
      </c>
      <c r="D60" s="34">
        <v>1</v>
      </c>
    </row>
    <row r="61" spans="2:4" x14ac:dyDescent="0.2">
      <c r="B61" s="25" t="s">
        <v>102</v>
      </c>
      <c r="C61" s="37" t="s">
        <v>183</v>
      </c>
      <c r="D61" s="34">
        <v>0</v>
      </c>
    </row>
    <row r="62" spans="2:4" x14ac:dyDescent="0.2">
      <c r="B62" s="25" t="s">
        <v>102</v>
      </c>
      <c r="C62" s="37" t="s">
        <v>186</v>
      </c>
      <c r="D62" s="34">
        <v>1</v>
      </c>
    </row>
    <row r="63" spans="2:4" x14ac:dyDescent="0.2">
      <c r="B63" s="8"/>
      <c r="C63" s="2"/>
      <c r="D63" s="12"/>
    </row>
    <row r="64" spans="2:4" x14ac:dyDescent="0.2">
      <c r="B64" s="8" t="s">
        <v>112</v>
      </c>
      <c r="C64" s="2" t="s">
        <v>106</v>
      </c>
      <c r="D64" s="12" t="s">
        <v>205</v>
      </c>
    </row>
    <row r="65" spans="2:4" x14ac:dyDescent="0.2">
      <c r="B65" s="8" t="s">
        <v>112</v>
      </c>
      <c r="C65" s="2" t="s">
        <v>124</v>
      </c>
      <c r="D65" s="12" t="s">
        <v>127</v>
      </c>
    </row>
    <row r="66" spans="2:4" x14ac:dyDescent="0.2">
      <c r="B66" s="8" t="s">
        <v>112</v>
      </c>
      <c r="C66" s="2" t="s">
        <v>18</v>
      </c>
      <c r="D66" s="12" t="s">
        <v>298</v>
      </c>
    </row>
    <row r="67" spans="2:4" x14ac:dyDescent="0.2">
      <c r="B67" s="8" t="s">
        <v>112</v>
      </c>
      <c r="C67" s="2" t="s">
        <v>125</v>
      </c>
      <c r="D67" s="12" t="s">
        <v>299</v>
      </c>
    </row>
    <row r="68" spans="2:4" x14ac:dyDescent="0.2">
      <c r="B68" s="8" t="s">
        <v>112</v>
      </c>
      <c r="C68" s="2" t="s">
        <v>39</v>
      </c>
      <c r="D68" s="12" t="s">
        <v>128</v>
      </c>
    </row>
    <row r="69" spans="2:4" x14ac:dyDescent="0.2">
      <c r="B69" s="8" t="s">
        <v>112</v>
      </c>
      <c r="C69" s="2" t="s">
        <v>126</v>
      </c>
      <c r="D69" s="12" t="s">
        <v>304</v>
      </c>
    </row>
    <row r="70" spans="2:4" x14ac:dyDescent="0.2">
      <c r="B70" s="8" t="s">
        <v>112</v>
      </c>
      <c r="C70" s="2" t="s">
        <v>14</v>
      </c>
      <c r="D70" s="12" t="s">
        <v>300</v>
      </c>
    </row>
    <row r="71" spans="2:4" x14ac:dyDescent="0.2">
      <c r="B71" s="8" t="s">
        <v>112</v>
      </c>
      <c r="C71" s="2" t="s">
        <v>101</v>
      </c>
      <c r="D71" s="12" t="s">
        <v>51</v>
      </c>
    </row>
    <row r="72" spans="2:4" x14ac:dyDescent="0.2">
      <c r="B72" s="8" t="s">
        <v>112</v>
      </c>
      <c r="C72" s="2" t="s">
        <v>75</v>
      </c>
      <c r="D72" s="12" t="s">
        <v>71</v>
      </c>
    </row>
    <row r="73" spans="2:4" x14ac:dyDescent="0.2">
      <c r="B73" s="8" t="s">
        <v>112</v>
      </c>
      <c r="C73" s="2" t="s">
        <v>93</v>
      </c>
      <c r="D73" s="12" t="s">
        <v>82</v>
      </c>
    </row>
    <row r="74" spans="2:4" x14ac:dyDescent="0.2">
      <c r="B74" s="8" t="s">
        <v>112</v>
      </c>
      <c r="C74" s="2" t="s">
        <v>94</v>
      </c>
      <c r="D74" s="12" t="s">
        <v>83</v>
      </c>
    </row>
    <row r="75" spans="2:4" x14ac:dyDescent="0.2">
      <c r="B75" s="8" t="s">
        <v>112</v>
      </c>
      <c r="C75" s="2" t="s">
        <v>95</v>
      </c>
      <c r="D75" s="12" t="s">
        <v>84</v>
      </c>
    </row>
    <row r="76" spans="2:4" x14ac:dyDescent="0.2">
      <c r="B76" s="8" t="s">
        <v>112</v>
      </c>
      <c r="C76" s="2" t="s">
        <v>96</v>
      </c>
      <c r="D76" s="12" t="s">
        <v>85</v>
      </c>
    </row>
    <row r="77" spans="2:4" x14ac:dyDescent="0.2">
      <c r="B77" s="8" t="s">
        <v>112</v>
      </c>
      <c r="C77" s="2" t="s">
        <v>86</v>
      </c>
      <c r="D77" s="12" t="s">
        <v>86</v>
      </c>
    </row>
    <row r="78" spans="2:4" x14ac:dyDescent="0.2">
      <c r="B78" s="8" t="s">
        <v>112</v>
      </c>
      <c r="C78" s="2" t="s">
        <v>97</v>
      </c>
      <c r="D78" s="12" t="s">
        <v>89</v>
      </c>
    </row>
    <row r="79" spans="2:4" x14ac:dyDescent="0.2">
      <c r="B79" s="8" t="s">
        <v>112</v>
      </c>
      <c r="C79" s="2" t="s">
        <v>98</v>
      </c>
      <c r="D79" s="12" t="s">
        <v>202</v>
      </c>
    </row>
    <row r="80" spans="2:4" x14ac:dyDescent="0.2">
      <c r="B80" s="8" t="s">
        <v>112</v>
      </c>
      <c r="C80" s="2" t="s">
        <v>72</v>
      </c>
      <c r="D80" s="12" t="s">
        <v>87</v>
      </c>
    </row>
    <row r="81" spans="2:4" x14ac:dyDescent="0.2">
      <c r="B81" s="8" t="s">
        <v>112</v>
      </c>
      <c r="C81" s="2" t="s">
        <v>99</v>
      </c>
      <c r="D81" s="12" t="s">
        <v>203</v>
      </c>
    </row>
    <row r="82" spans="2:4" x14ac:dyDescent="0.2">
      <c r="B82" s="8" t="s">
        <v>112</v>
      </c>
      <c r="C82" s="2" t="s">
        <v>74</v>
      </c>
      <c r="D82" s="12" t="s">
        <v>88</v>
      </c>
    </row>
    <row r="83" spans="2:4" x14ac:dyDescent="0.2">
      <c r="B83" s="8" t="s">
        <v>112</v>
      </c>
      <c r="C83" s="2" t="s">
        <v>100</v>
      </c>
      <c r="D83" s="12" t="s">
        <v>91</v>
      </c>
    </row>
    <row r="84" spans="2:4" x14ac:dyDescent="0.2">
      <c r="B84" s="8" t="s">
        <v>112</v>
      </c>
      <c r="C84" s="2" t="s">
        <v>90</v>
      </c>
      <c r="D84" s="12" t="s">
        <v>92</v>
      </c>
    </row>
    <row r="85" spans="2:4" x14ac:dyDescent="0.2">
      <c r="B85" s="8" t="s">
        <v>112</v>
      </c>
      <c r="C85" s="2" t="s">
        <v>303</v>
      </c>
      <c r="D85" s="12" t="s">
        <v>216</v>
      </c>
    </row>
    <row r="86" spans="2:4" s="24" customFormat="1" x14ac:dyDescent="0.2">
      <c r="B86" s="8" t="s">
        <v>112</v>
      </c>
      <c r="C86" s="2" t="s">
        <v>199</v>
      </c>
      <c r="D86" s="12" t="s">
        <v>204</v>
      </c>
    </row>
    <row r="87" spans="2:4" x14ac:dyDescent="0.2">
      <c r="B87" s="25" t="s">
        <v>112</v>
      </c>
      <c r="C87" s="2" t="s">
        <v>184</v>
      </c>
      <c r="D87" s="34" t="s">
        <v>169</v>
      </c>
    </row>
    <row r="88" spans="2:4" x14ac:dyDescent="0.2">
      <c r="B88" s="8"/>
      <c r="C88" s="2"/>
      <c r="D88" s="12"/>
    </row>
    <row r="89" spans="2:4" x14ac:dyDescent="0.2">
      <c r="B89" s="8" t="s">
        <v>103</v>
      </c>
      <c r="C89" s="2" t="s">
        <v>107</v>
      </c>
      <c r="D89" s="12" t="s">
        <v>215</v>
      </c>
    </row>
    <row r="90" spans="2:4" x14ac:dyDescent="0.2">
      <c r="B90" s="8" t="s">
        <v>103</v>
      </c>
      <c r="C90" s="2" t="s">
        <v>143</v>
      </c>
      <c r="D90" s="12" t="s">
        <v>244</v>
      </c>
    </row>
    <row r="91" spans="2:4" x14ac:dyDescent="0.2">
      <c r="B91" s="8" t="s">
        <v>103</v>
      </c>
      <c r="C91" s="2" t="s">
        <v>108</v>
      </c>
      <c r="D91" s="12" t="s">
        <v>305</v>
      </c>
    </row>
    <row r="92" spans="2:4" x14ac:dyDescent="0.2">
      <c r="B92" s="8" t="s">
        <v>103</v>
      </c>
      <c r="C92" s="2" t="s">
        <v>141</v>
      </c>
      <c r="D92" s="12" t="s">
        <v>142</v>
      </c>
    </row>
    <row r="93" spans="2:4" x14ac:dyDescent="0.2">
      <c r="B93" s="25" t="s">
        <v>103</v>
      </c>
      <c r="C93" s="2" t="s">
        <v>168</v>
      </c>
      <c r="D93" s="12" t="s">
        <v>169</v>
      </c>
    </row>
    <row r="94" spans="2:4" x14ac:dyDescent="0.2">
      <c r="B94" s="8"/>
      <c r="C94" s="2"/>
      <c r="D94" s="12"/>
    </row>
    <row r="95" spans="2:4" x14ac:dyDescent="0.2">
      <c r="B95" s="8" t="s">
        <v>104</v>
      </c>
      <c r="C95" s="2" t="s">
        <v>109</v>
      </c>
      <c r="D95" s="12" t="s">
        <v>207</v>
      </c>
    </row>
    <row r="96" spans="2:4" x14ac:dyDescent="0.2">
      <c r="B96" s="8" t="s">
        <v>104</v>
      </c>
      <c r="C96" s="2" t="s">
        <v>110</v>
      </c>
      <c r="D96" s="12" t="s">
        <v>214</v>
      </c>
    </row>
    <row r="97" spans="2:4" x14ac:dyDescent="0.2">
      <c r="B97" s="8" t="s">
        <v>104</v>
      </c>
      <c r="C97" s="2" t="s">
        <v>111</v>
      </c>
      <c r="D97" s="12" t="s">
        <v>208</v>
      </c>
    </row>
    <row r="98" spans="2:4" x14ac:dyDescent="0.2">
      <c r="B98" s="8" t="s">
        <v>104</v>
      </c>
      <c r="C98" s="2" t="s">
        <v>119</v>
      </c>
      <c r="D98" s="12" t="s">
        <v>213</v>
      </c>
    </row>
    <row r="99" spans="2:4" x14ac:dyDescent="0.2"/>
    <row r="100" spans="2:4" x14ac:dyDescent="0.2"/>
    <row r="101" spans="2:4" hidden="1" x14ac:dyDescent="0.2"/>
    <row r="102" spans="2:4" hidden="1" x14ac:dyDescent="0.2"/>
    <row r="103" spans="2:4" hidden="1" x14ac:dyDescent="0.2"/>
    <row r="104" spans="2:4" hidden="1" x14ac:dyDescent="0.2"/>
    <row r="105" spans="2:4" hidden="1" x14ac:dyDescent="0.2"/>
    <row r="106" spans="2:4" hidden="1" x14ac:dyDescent="0.2"/>
    <row r="107" spans="2:4" hidden="1" x14ac:dyDescent="0.2"/>
  </sheetData>
  <hyperlinks>
    <hyperlink ref="D8" r:id="rId1"/>
  </hyperlinks>
  <pageMargins left="0.7" right="0.7" top="0.75" bottom="0.75" header="0.3" footer="0.3"/>
  <pageSetup paperSize="9" orientation="portrait" r:id="rId2"/>
  <legacyDrawing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WorkInstructions">
    <pageSetUpPr fitToPage="1"/>
  </sheetPr>
  <dimension ref="A1:AY20"/>
  <sheetViews>
    <sheetView showGridLines="0" tabSelected="1" topLeftCell="Q1" zoomScaleNormal="100" zoomScaleSheetLayoutView="85" workbookViewId="0">
      <selection activeCell="R9" sqref="R9"/>
    </sheetView>
  </sheetViews>
  <sheetFormatPr defaultColWidth="0" defaultRowHeight="12.75" x14ac:dyDescent="0.2"/>
  <cols>
    <col min="1" max="1" width="4.140625" style="36" customWidth="1"/>
    <col min="2" max="2" width="5.140625" style="36" bestFit="1" customWidth="1"/>
    <col min="3" max="3" width="23.42578125" style="36" bestFit="1" customWidth="1"/>
    <col min="4" max="4" width="27" style="36" bestFit="1" customWidth="1"/>
    <col min="5" max="5" width="25.7109375" style="36" bestFit="1" customWidth="1"/>
    <col min="6" max="6" width="8.5703125" style="36" bestFit="1" customWidth="1"/>
    <col min="7" max="7" width="28.140625" style="36" customWidth="1"/>
    <col min="8" max="8" width="15.42578125" style="36" bestFit="1" customWidth="1"/>
    <col min="9" max="9" width="18.42578125" style="36" bestFit="1" customWidth="1"/>
    <col min="10" max="10" width="17.28515625" style="36" bestFit="1" customWidth="1"/>
    <col min="11" max="11" width="41.5703125" style="36" customWidth="1"/>
    <col min="12" max="12" width="18.85546875" style="36" bestFit="1" customWidth="1"/>
    <col min="13" max="13" width="11.5703125" style="36" bestFit="1" customWidth="1"/>
    <col min="14" max="14" width="15.85546875" style="36" bestFit="1" customWidth="1"/>
    <col min="15" max="15" width="17.7109375" style="36" bestFit="1" customWidth="1"/>
    <col min="16" max="16" width="14.42578125" style="36" bestFit="1" customWidth="1"/>
    <col min="17" max="17" width="19.42578125" style="36" bestFit="1" customWidth="1"/>
    <col min="18" max="18" width="21" style="36" bestFit="1" customWidth="1"/>
    <col min="19" max="19" width="23.28515625" style="36" bestFit="1" customWidth="1"/>
    <col min="20" max="20" width="17.5703125" style="36" bestFit="1" customWidth="1"/>
    <col min="21" max="21" width="23.28515625" style="36" bestFit="1" customWidth="1"/>
    <col min="22" max="22" width="10.140625" style="36" bestFit="1" customWidth="1"/>
    <col min="23" max="23" width="15.140625" style="36" bestFit="1" customWidth="1"/>
    <col min="24" max="24" width="12.28515625" style="36" customWidth="1"/>
    <col min="25" max="25" width="18.140625" style="36" bestFit="1" customWidth="1"/>
    <col min="26" max="26" width="33.85546875" style="36" bestFit="1" customWidth="1"/>
    <col min="27" max="27" width="19.28515625" style="36" bestFit="1" customWidth="1"/>
    <col min="28" max="28" width="11.140625" style="36" bestFit="1" customWidth="1"/>
    <col min="29" max="29" width="20.42578125" style="36" bestFit="1" customWidth="1"/>
    <col min="30" max="30" width="12.7109375" style="36" bestFit="1" customWidth="1"/>
    <col min="31" max="31" width="16" style="36" bestFit="1" customWidth="1"/>
    <col min="32" max="32" width="45.85546875" style="36" customWidth="1"/>
    <col min="33" max="33" width="3.28515625" style="36" customWidth="1"/>
    <col min="34" max="34" width="4.5703125" style="36" hidden="1" customWidth="1"/>
    <col min="35" max="51" width="0" style="36" hidden="1" customWidth="1"/>
    <col min="52" max="16384" width="25.7109375" style="36" hidden="1"/>
  </cols>
  <sheetData>
    <row r="1" spans="2:34" s="3" customFormat="1" x14ac:dyDescent="0.2"/>
    <row r="2" spans="2:34" s="9" customFormat="1" ht="15" x14ac:dyDescent="0.2">
      <c r="B2" s="24" t="s">
        <v>3</v>
      </c>
      <c r="C2" s="24" t="s">
        <v>45</v>
      </c>
      <c r="D2" s="24" t="s">
        <v>187</v>
      </c>
      <c r="E2" s="24" t="s">
        <v>201</v>
      </c>
      <c r="F2" s="24" t="s">
        <v>211</v>
      </c>
      <c r="G2" s="24" t="s">
        <v>212</v>
      </c>
      <c r="H2" s="24" t="s">
        <v>139</v>
      </c>
      <c r="I2" s="24" t="s">
        <v>140</v>
      </c>
      <c r="J2" s="24" t="s">
        <v>129</v>
      </c>
      <c r="K2" s="24" t="s">
        <v>2</v>
      </c>
      <c r="L2" s="24" t="s">
        <v>72</v>
      </c>
      <c r="M2" s="24" t="s">
        <v>73</v>
      </c>
      <c r="N2" s="24" t="s">
        <v>74</v>
      </c>
      <c r="O2" s="24" t="s">
        <v>130</v>
      </c>
      <c r="P2" s="24" t="s">
        <v>131</v>
      </c>
      <c r="Q2" s="24" t="s">
        <v>132</v>
      </c>
      <c r="R2" s="24" t="s">
        <v>198</v>
      </c>
      <c r="S2" s="24" t="s">
        <v>163</v>
      </c>
      <c r="T2" s="24" t="s">
        <v>161</v>
      </c>
      <c r="U2" s="24" t="s">
        <v>162</v>
      </c>
      <c r="V2" s="24" t="s">
        <v>18</v>
      </c>
      <c r="W2" s="24" t="s">
        <v>19</v>
      </c>
      <c r="X2" s="24" t="s">
        <v>14</v>
      </c>
      <c r="Y2" s="24" t="s">
        <v>5</v>
      </c>
      <c r="Z2" s="24" t="s">
        <v>253</v>
      </c>
      <c r="AA2" s="24" t="s">
        <v>39</v>
      </c>
      <c r="AB2" s="24" t="s">
        <v>1</v>
      </c>
      <c r="AC2" s="24" t="s">
        <v>171</v>
      </c>
      <c r="AD2" s="24" t="s">
        <v>149</v>
      </c>
      <c r="AE2" s="24" t="s">
        <v>4</v>
      </c>
      <c r="AF2" s="24" t="s">
        <v>195</v>
      </c>
    </row>
    <row r="3" spans="2:34" ht="38.25" x14ac:dyDescent="0.2">
      <c r="B3" s="24">
        <f>ROW(tblWorkInstructions[[#This Row],[ID]])-ROW(tblWorkInstructions[[#Headers],[ID]])</f>
        <v>1</v>
      </c>
      <c r="C3" s="24" t="s">
        <v>266</v>
      </c>
      <c r="D3" s="24" t="s">
        <v>265</v>
      </c>
      <c r="E3" s="24" t="s">
        <v>248</v>
      </c>
      <c r="F3" s="24" t="s">
        <v>250</v>
      </c>
      <c r="G3" s="24" t="s">
        <v>251</v>
      </c>
      <c r="H3" s="44" t="s">
        <v>257</v>
      </c>
      <c r="I3" s="44" t="s">
        <v>258</v>
      </c>
      <c r="J3" s="24">
        <v>1</v>
      </c>
      <c r="K3" s="1" t="s">
        <v>252</v>
      </c>
      <c r="L3" s="24"/>
      <c r="M3" s="24"/>
      <c r="N3" s="24"/>
      <c r="O3" s="24"/>
      <c r="P3" s="24"/>
      <c r="Q3" s="24"/>
      <c r="R3" s="24"/>
      <c r="S3" s="24" t="s">
        <v>197</v>
      </c>
      <c r="T3" s="24"/>
      <c r="U3" s="24"/>
      <c r="V3" s="24">
        <v>6</v>
      </c>
      <c r="W3" s="24" t="s">
        <v>30</v>
      </c>
      <c r="X3" s="24" t="s">
        <v>189</v>
      </c>
      <c r="Y3" s="24" t="s">
        <v>20</v>
      </c>
      <c r="Z3" s="1" t="s">
        <v>254</v>
      </c>
      <c r="AA3" s="24" t="s">
        <v>11</v>
      </c>
      <c r="AB3" s="24">
        <v>1</v>
      </c>
      <c r="AC3" s="24">
        <v>0.1</v>
      </c>
      <c r="AD3" s="24">
        <f>tblWorkInstructions[[#This Row],[Manning]]*tblWorkInstructions[[#This Row],[Task Duration (hrs)]]</f>
        <v>0.1</v>
      </c>
      <c r="AE3" s="24" t="s">
        <v>9</v>
      </c>
      <c r="AF3" s="24" t="s">
        <v>259</v>
      </c>
      <c r="AG3" s="9"/>
    </row>
    <row r="4" spans="2:34" ht="15" x14ac:dyDescent="0.2">
      <c r="B4" s="24">
        <f>ROW(tblWorkInstructions[[#This Row],[ID]])-ROW(tblWorkInstructions[[#Headers],[ID]])</f>
        <v>2</v>
      </c>
      <c r="C4" s="44" t="s">
        <v>266</v>
      </c>
      <c r="D4" s="44" t="s">
        <v>265</v>
      </c>
      <c r="E4" s="44" t="s">
        <v>248</v>
      </c>
      <c r="F4" s="44" t="s">
        <v>250</v>
      </c>
      <c r="G4" s="44" t="s">
        <v>251</v>
      </c>
      <c r="H4" s="44" t="s">
        <v>257</v>
      </c>
      <c r="I4" s="44" t="s">
        <v>258</v>
      </c>
      <c r="J4" s="24">
        <v>2</v>
      </c>
      <c r="K4" s="1" t="s">
        <v>255</v>
      </c>
      <c r="L4" s="24"/>
      <c r="M4" s="24"/>
      <c r="N4" s="24"/>
      <c r="O4" s="24"/>
      <c r="P4" s="24"/>
      <c r="Q4" s="24"/>
      <c r="R4" s="24"/>
      <c r="S4" s="24"/>
      <c r="T4" s="24"/>
      <c r="U4" s="24"/>
      <c r="V4" s="44">
        <v>6</v>
      </c>
      <c r="W4" s="44" t="s">
        <v>30</v>
      </c>
      <c r="X4" s="44" t="s">
        <v>189</v>
      </c>
      <c r="Y4" s="44" t="s">
        <v>20</v>
      </c>
      <c r="Z4" s="1"/>
      <c r="AA4" s="44" t="s">
        <v>11</v>
      </c>
      <c r="AB4" s="44">
        <v>1</v>
      </c>
      <c r="AC4" s="44">
        <v>0.2</v>
      </c>
      <c r="AD4" s="24">
        <f>tblWorkInstructions[[#This Row],[Manning]]*tblWorkInstructions[[#This Row],[Task Duration (hrs)]]</f>
        <v>0.2</v>
      </c>
      <c r="AE4" s="44" t="s">
        <v>9</v>
      </c>
      <c r="AF4" s="44" t="s">
        <v>259</v>
      </c>
      <c r="AG4" s="9"/>
    </row>
    <row r="5" spans="2:34" ht="15" x14ac:dyDescent="0.2">
      <c r="B5" s="24">
        <f>ROW(tblWorkInstructions[[#This Row],[ID]])-ROW(tblWorkInstructions[[#Headers],[ID]])</f>
        <v>3</v>
      </c>
      <c r="C5" s="44" t="s">
        <v>266</v>
      </c>
      <c r="D5" s="44" t="s">
        <v>265</v>
      </c>
      <c r="E5" s="44" t="s">
        <v>248</v>
      </c>
      <c r="F5" s="44" t="s">
        <v>250</v>
      </c>
      <c r="G5" s="44" t="s">
        <v>251</v>
      </c>
      <c r="H5" s="44" t="s">
        <v>257</v>
      </c>
      <c r="I5" s="44" t="s">
        <v>258</v>
      </c>
      <c r="J5" s="24">
        <v>3</v>
      </c>
      <c r="K5" s="1" t="s">
        <v>256</v>
      </c>
      <c r="L5" s="24"/>
      <c r="M5" s="24"/>
      <c r="N5" s="24"/>
      <c r="O5" s="24"/>
      <c r="P5" s="24"/>
      <c r="Q5" s="24"/>
      <c r="R5" s="24"/>
      <c r="S5" s="24"/>
      <c r="T5" s="24"/>
      <c r="U5" s="24"/>
      <c r="V5" s="44">
        <v>6</v>
      </c>
      <c r="W5" s="44" t="s">
        <v>30</v>
      </c>
      <c r="X5" s="44" t="s">
        <v>189</v>
      </c>
      <c r="Y5" s="44" t="s">
        <v>20</v>
      </c>
      <c r="Z5" s="1"/>
      <c r="AA5" s="44" t="s">
        <v>11</v>
      </c>
      <c r="AB5" s="44">
        <v>1</v>
      </c>
      <c r="AC5" s="44">
        <v>0.5</v>
      </c>
      <c r="AD5" s="24">
        <f>tblWorkInstructions[[#This Row],[Manning]]*tblWorkInstructions[[#This Row],[Task Duration (hrs)]]</f>
        <v>0.5</v>
      </c>
      <c r="AE5" s="44" t="s">
        <v>9</v>
      </c>
      <c r="AF5" s="44" t="s">
        <v>259</v>
      </c>
      <c r="AG5" s="9"/>
    </row>
    <row r="6" spans="2:34" ht="15" x14ac:dyDescent="0.2">
      <c r="B6" s="24">
        <f>ROW(tblWorkInstructions[[#This Row],[ID]])-ROW(tblWorkInstructions[[#Headers],[ID]])</f>
        <v>4</v>
      </c>
      <c r="C6" s="44" t="s">
        <v>266</v>
      </c>
      <c r="D6" s="44" t="s">
        <v>265</v>
      </c>
      <c r="E6" s="44" t="s">
        <v>248</v>
      </c>
      <c r="F6" s="44" t="s">
        <v>250</v>
      </c>
      <c r="G6" s="44" t="s">
        <v>251</v>
      </c>
      <c r="H6" s="24" t="s">
        <v>257</v>
      </c>
      <c r="I6" s="24" t="s">
        <v>258</v>
      </c>
      <c r="J6" s="24">
        <v>4</v>
      </c>
      <c r="K6" s="39" t="s">
        <v>302</v>
      </c>
      <c r="L6" s="24"/>
      <c r="M6" s="24"/>
      <c r="N6" s="24"/>
      <c r="O6" s="24"/>
      <c r="P6" s="24"/>
      <c r="Q6" s="24"/>
      <c r="R6" s="24"/>
      <c r="S6" s="24"/>
      <c r="T6" s="24"/>
      <c r="U6" s="24"/>
      <c r="V6" s="44">
        <v>6</v>
      </c>
      <c r="W6" s="44" t="s">
        <v>30</v>
      </c>
      <c r="X6" s="44" t="s">
        <v>189</v>
      </c>
      <c r="Y6" s="44" t="s">
        <v>20</v>
      </c>
      <c r="Z6" s="1"/>
      <c r="AA6" s="44" t="s">
        <v>11</v>
      </c>
      <c r="AB6" s="44">
        <v>1</v>
      </c>
      <c r="AC6" s="44">
        <v>0.1</v>
      </c>
      <c r="AD6" s="24">
        <f>tblWorkInstructions[[#This Row],[Manning]]*tblWorkInstructions[[#This Row],[Task Duration (hrs)]]</f>
        <v>0.1</v>
      </c>
      <c r="AE6" s="44" t="s">
        <v>9</v>
      </c>
      <c r="AF6" s="44" t="s">
        <v>259</v>
      </c>
      <c r="AG6" s="9"/>
    </row>
    <row r="7" spans="2:34" ht="25.5" x14ac:dyDescent="0.2">
      <c r="B7" s="24">
        <f>ROW(tblWorkInstructions[[#This Row],[ID]])-ROW(tblWorkInstructions[[#Headers],[ID]])</f>
        <v>5</v>
      </c>
      <c r="C7" s="44" t="s">
        <v>266</v>
      </c>
      <c r="D7" s="44" t="s">
        <v>265</v>
      </c>
      <c r="E7" s="44" t="s">
        <v>248</v>
      </c>
      <c r="F7" s="24" t="s">
        <v>260</v>
      </c>
      <c r="G7" s="24" t="s">
        <v>261</v>
      </c>
      <c r="H7" s="24"/>
      <c r="I7" s="24"/>
      <c r="J7" s="24">
        <v>1</v>
      </c>
      <c r="K7" s="1" t="s">
        <v>264</v>
      </c>
      <c r="L7" s="24"/>
      <c r="M7" s="24"/>
      <c r="N7" s="24"/>
      <c r="O7" s="24"/>
      <c r="P7" s="24"/>
      <c r="Q7" s="24" t="s">
        <v>262</v>
      </c>
      <c r="R7" s="24"/>
      <c r="S7" s="24"/>
      <c r="T7" s="24"/>
      <c r="U7" s="29" t="str">
        <f>HYPERLINK(ImageFolder &amp; "Silica Gel Conditions.PNG","Silica Gel Conditions.PNG")</f>
        <v>Silica Gel Conditions.PNG</v>
      </c>
      <c r="V7" s="44">
        <v>6</v>
      </c>
      <c r="W7" s="44" t="s">
        <v>30</v>
      </c>
      <c r="X7" s="44" t="s">
        <v>189</v>
      </c>
      <c r="Y7" s="44" t="s">
        <v>20</v>
      </c>
      <c r="Z7" s="1" t="s">
        <v>263</v>
      </c>
      <c r="AA7" s="44" t="s">
        <v>11</v>
      </c>
      <c r="AB7" s="44">
        <v>1</v>
      </c>
      <c r="AC7" s="44">
        <v>0.1</v>
      </c>
      <c r="AD7" s="24">
        <f>tblWorkInstructions[[#This Row],[Manning]]*tblWorkInstructions[[#This Row],[Task Duration (hrs)]]</f>
        <v>0.1</v>
      </c>
      <c r="AE7" s="44" t="s">
        <v>9</v>
      </c>
      <c r="AF7" s="24"/>
      <c r="AG7" s="9"/>
    </row>
    <row r="8" spans="2:34" ht="38.25" x14ac:dyDescent="0.2">
      <c r="B8" s="24">
        <f>ROW(tblWorkInstructions[[#This Row],[ID]])-ROW(tblWorkInstructions[[#Headers],[ID]])</f>
        <v>6</v>
      </c>
      <c r="C8" s="44" t="s">
        <v>266</v>
      </c>
      <c r="D8" s="44" t="s">
        <v>265</v>
      </c>
      <c r="E8" s="44" t="s">
        <v>248</v>
      </c>
      <c r="F8" s="25" t="s">
        <v>279</v>
      </c>
      <c r="G8" s="25" t="s">
        <v>280</v>
      </c>
      <c r="H8" s="24"/>
      <c r="I8" s="24"/>
      <c r="J8" s="24">
        <v>1</v>
      </c>
      <c r="K8" s="1" t="s">
        <v>269</v>
      </c>
      <c r="L8" s="24"/>
      <c r="M8" s="24"/>
      <c r="N8" s="24"/>
      <c r="O8" s="24"/>
      <c r="P8" s="24"/>
      <c r="Q8" s="24"/>
      <c r="R8" s="29" t="str">
        <f>HYPERLINK(ManualsFolder &amp; "Example Equipment Manual.txt","Example Equipment Manual.txt")</f>
        <v>Example Equipment Manual.txt</v>
      </c>
      <c r="S8" s="25" t="s">
        <v>196</v>
      </c>
      <c r="T8" s="29" t="str">
        <f>HYPERLINK(ImageFolder &amp; "Terminal Blocks.jpg","Terminal Blocks.jpg")</f>
        <v>Terminal Blocks.jpg</v>
      </c>
      <c r="U8" s="29" t="str">
        <f>HYPERLINK(ImageFolder &amp; "Wiring Box.jpg","Wiring Box.jpg")</f>
        <v>Wiring Box.jpg</v>
      </c>
      <c r="V8" s="44">
        <v>6</v>
      </c>
      <c r="W8" s="44" t="s">
        <v>30</v>
      </c>
      <c r="X8" s="44" t="s">
        <v>189</v>
      </c>
      <c r="Y8" s="44" t="s">
        <v>20</v>
      </c>
      <c r="Z8" s="1"/>
      <c r="AA8" s="44" t="s">
        <v>11</v>
      </c>
      <c r="AB8" s="44">
        <v>1</v>
      </c>
      <c r="AC8" s="44">
        <v>0.1</v>
      </c>
      <c r="AD8" s="24">
        <f>tblWorkInstructions[[#This Row],[Manning]]*tblWorkInstructions[[#This Row],[Task Duration (hrs)]]</f>
        <v>0.1</v>
      </c>
      <c r="AE8" s="44" t="s">
        <v>9</v>
      </c>
      <c r="AF8" s="24"/>
      <c r="AG8" s="9"/>
    </row>
    <row r="9" spans="2:34" ht="25.5" x14ac:dyDescent="0.2">
      <c r="B9" s="24">
        <f>ROW(tblWorkInstructions[[#This Row],[ID]])-ROW(tblWorkInstructions[[#Headers],[ID]])</f>
        <v>7</v>
      </c>
      <c r="C9" s="44" t="s">
        <v>266</v>
      </c>
      <c r="D9" s="44" t="s">
        <v>265</v>
      </c>
      <c r="E9" s="44" t="s">
        <v>248</v>
      </c>
      <c r="F9" s="25" t="s">
        <v>279</v>
      </c>
      <c r="G9" s="25" t="s">
        <v>280</v>
      </c>
      <c r="H9" s="24"/>
      <c r="I9" s="24"/>
      <c r="J9" s="24">
        <v>2</v>
      </c>
      <c r="K9" s="1" t="s">
        <v>270</v>
      </c>
      <c r="L9" s="24"/>
      <c r="M9" s="24"/>
      <c r="N9" s="24"/>
      <c r="O9" s="24"/>
      <c r="P9" s="24"/>
      <c r="Q9" s="24"/>
      <c r="R9" s="29" t="str">
        <f>HYPERLINK(ManualsFolder &amp; "Example Equipment Manual.txt","Example Equipment Manual.txt")</f>
        <v>Example Equipment Manual.txt</v>
      </c>
      <c r="S9" s="24"/>
      <c r="T9" s="24"/>
      <c r="U9" s="24"/>
      <c r="V9" s="44">
        <v>12</v>
      </c>
      <c r="W9" s="44" t="s">
        <v>30</v>
      </c>
      <c r="X9" s="44" t="s">
        <v>189</v>
      </c>
      <c r="Y9" s="44" t="s">
        <v>20</v>
      </c>
      <c r="Z9" s="1"/>
      <c r="AA9" s="25" t="s">
        <v>12</v>
      </c>
      <c r="AB9" s="44">
        <v>1</v>
      </c>
      <c r="AC9" s="44">
        <v>0.1</v>
      </c>
      <c r="AD9" s="24">
        <f>tblWorkInstructions[[#This Row],[Manning]]*tblWorkInstructions[[#This Row],[Task Duration (hrs)]]</f>
        <v>0.1</v>
      </c>
      <c r="AE9" s="44" t="s">
        <v>9</v>
      </c>
      <c r="AF9" s="24"/>
      <c r="AG9" s="9"/>
    </row>
    <row r="10" spans="2:34" ht="15" x14ac:dyDescent="0.2">
      <c r="B10" s="24">
        <f>ROW(tblWorkInstructions[[#This Row],[ID]])-ROW(tblWorkInstructions[[#Headers],[ID]])</f>
        <v>8</v>
      </c>
      <c r="C10" s="44" t="s">
        <v>266</v>
      </c>
      <c r="D10" s="44" t="s">
        <v>265</v>
      </c>
      <c r="E10" s="44" t="s">
        <v>248</v>
      </c>
      <c r="F10" s="25" t="s">
        <v>281</v>
      </c>
      <c r="G10" s="25" t="s">
        <v>282</v>
      </c>
      <c r="H10" s="24"/>
      <c r="I10" s="24"/>
      <c r="J10" s="24">
        <v>1</v>
      </c>
      <c r="K10" s="1" t="s">
        <v>271</v>
      </c>
      <c r="L10" s="24"/>
      <c r="M10" s="24"/>
      <c r="N10" s="24"/>
      <c r="O10" s="24"/>
      <c r="P10" s="24"/>
      <c r="Q10" s="24"/>
      <c r="R10" s="24"/>
      <c r="S10" s="24"/>
      <c r="T10" s="24"/>
      <c r="U10" s="29" t="str">
        <f>HYPERLINK(ImageFolder &amp; "Oil Level Gauge.jpg","Oil Level Gauge.jpg")</f>
        <v>Oil Level Gauge.jpg</v>
      </c>
      <c r="V10" s="44">
        <v>12</v>
      </c>
      <c r="W10" s="44" t="s">
        <v>30</v>
      </c>
      <c r="X10" s="44" t="s">
        <v>189</v>
      </c>
      <c r="Y10" s="44" t="s">
        <v>20</v>
      </c>
      <c r="Z10" s="1"/>
      <c r="AA10" s="25" t="s">
        <v>12</v>
      </c>
      <c r="AB10" s="44">
        <v>1</v>
      </c>
      <c r="AC10" s="44">
        <v>0.1</v>
      </c>
      <c r="AD10" s="24">
        <f>tblWorkInstructions[[#This Row],[Manning]]*tblWorkInstructions[[#This Row],[Task Duration (hrs)]]</f>
        <v>0.1</v>
      </c>
      <c r="AE10" s="44" t="s">
        <v>9</v>
      </c>
      <c r="AF10" s="24"/>
      <c r="AG10" s="9"/>
    </row>
    <row r="11" spans="2:34" ht="63.75" x14ac:dyDescent="0.2">
      <c r="B11" s="24">
        <f>ROW(tblWorkInstructions[[#This Row],[ID]])-ROW(tblWorkInstructions[[#Headers],[ID]])</f>
        <v>9</v>
      </c>
      <c r="C11" s="44" t="s">
        <v>266</v>
      </c>
      <c r="D11" s="44" t="s">
        <v>265</v>
      </c>
      <c r="E11" s="44" t="s">
        <v>248</v>
      </c>
      <c r="F11" s="25" t="s">
        <v>281</v>
      </c>
      <c r="G11" s="25" t="s">
        <v>282</v>
      </c>
      <c r="H11" s="24"/>
      <c r="I11" s="24"/>
      <c r="J11" s="24">
        <v>2</v>
      </c>
      <c r="K11" s="1" t="s">
        <v>272</v>
      </c>
      <c r="L11" s="25" t="s">
        <v>283</v>
      </c>
      <c r="M11" s="24"/>
      <c r="N11" s="24"/>
      <c r="O11" s="24"/>
      <c r="P11" s="24"/>
      <c r="Q11" s="24"/>
      <c r="R11" s="24"/>
      <c r="S11" s="24"/>
      <c r="T11" s="24"/>
      <c r="U11" s="50" t="str">
        <f>HYPERLINK(ImageFolder &amp; "Temperature Indicators.jpg","Temperature Indicators.jpg")</f>
        <v>Temperature Indicators.jpg</v>
      </c>
      <c r="V11" s="44">
        <v>12</v>
      </c>
      <c r="W11" s="44" t="s">
        <v>30</v>
      </c>
      <c r="X11" s="44" t="s">
        <v>189</v>
      </c>
      <c r="Y11" s="44" t="s">
        <v>20</v>
      </c>
      <c r="Z11" s="1"/>
      <c r="AA11" s="25" t="s">
        <v>12</v>
      </c>
      <c r="AB11" s="44">
        <v>1</v>
      </c>
      <c r="AC11" s="44">
        <v>0.1</v>
      </c>
      <c r="AD11" s="24">
        <f>tblWorkInstructions[[#This Row],[Manning]]*tblWorkInstructions[[#This Row],[Task Duration (hrs)]]</f>
        <v>0.1</v>
      </c>
      <c r="AE11" s="44" t="s">
        <v>9</v>
      </c>
      <c r="AF11" s="24"/>
      <c r="AG11" s="9"/>
    </row>
    <row r="12" spans="2:34" ht="25.5" x14ac:dyDescent="0.2">
      <c r="B12" s="24">
        <f>ROW(tblWorkInstructions[[#This Row],[ID]])-ROW(tblWorkInstructions[[#Headers],[ID]])</f>
        <v>10</v>
      </c>
      <c r="C12" s="44" t="s">
        <v>266</v>
      </c>
      <c r="D12" s="44" t="s">
        <v>265</v>
      </c>
      <c r="E12" s="44" t="s">
        <v>248</v>
      </c>
      <c r="F12" s="25" t="s">
        <v>281</v>
      </c>
      <c r="G12" s="25" t="s">
        <v>282</v>
      </c>
      <c r="H12" s="24"/>
      <c r="I12" s="24"/>
      <c r="J12" s="24">
        <v>3</v>
      </c>
      <c r="K12" s="1" t="s">
        <v>273</v>
      </c>
      <c r="L12" s="24"/>
      <c r="M12" s="24"/>
      <c r="N12" s="24"/>
      <c r="O12" s="24"/>
      <c r="P12" s="24"/>
      <c r="Q12" s="24"/>
      <c r="R12" s="24"/>
      <c r="S12" s="24"/>
      <c r="T12" s="24"/>
      <c r="U12" s="29" t="str">
        <f>HYPERLINK(ImageFolder &amp; "PRV.jpg","PRV.jpg")</f>
        <v>PRV.jpg</v>
      </c>
      <c r="V12" s="44">
        <v>6</v>
      </c>
      <c r="W12" s="44" t="s">
        <v>30</v>
      </c>
      <c r="X12" s="44" t="s">
        <v>189</v>
      </c>
      <c r="Y12" s="44" t="s">
        <v>20</v>
      </c>
      <c r="Z12" s="1"/>
      <c r="AA12" s="44" t="s">
        <v>11</v>
      </c>
      <c r="AB12" s="44">
        <v>1</v>
      </c>
      <c r="AC12" s="44">
        <v>0.1</v>
      </c>
      <c r="AD12" s="24">
        <f>tblWorkInstructions[[#This Row],[Manning]]*tblWorkInstructions[[#This Row],[Task Duration (hrs)]]</f>
        <v>0.1</v>
      </c>
      <c r="AE12" s="44" t="s">
        <v>9</v>
      </c>
      <c r="AF12" s="24"/>
      <c r="AG12" s="9"/>
    </row>
    <row r="13" spans="2:34" ht="25.5" x14ac:dyDescent="0.2">
      <c r="B13" s="45">
        <f>ROW(tblWorkInstructions[[#This Row],[ID]])-ROW(tblWorkInstructions[[#Headers],[ID]])</f>
        <v>11</v>
      </c>
      <c r="C13" s="44" t="s">
        <v>266</v>
      </c>
      <c r="D13" s="44" t="s">
        <v>265</v>
      </c>
      <c r="E13" s="44" t="s">
        <v>248</v>
      </c>
      <c r="F13" s="48" t="s">
        <v>284</v>
      </c>
      <c r="G13" s="48" t="s">
        <v>307</v>
      </c>
      <c r="H13" s="45"/>
      <c r="I13" s="45"/>
      <c r="J13" s="45">
        <v>1</v>
      </c>
      <c r="K13" s="46" t="s">
        <v>274</v>
      </c>
      <c r="L13" s="45"/>
      <c r="M13" s="45"/>
      <c r="N13" s="45"/>
      <c r="O13" s="45"/>
      <c r="P13" s="45"/>
      <c r="Q13" s="45"/>
      <c r="R13" s="45"/>
      <c r="S13" s="45"/>
      <c r="T13" s="45"/>
      <c r="U13" s="45"/>
      <c r="V13" s="44">
        <v>6</v>
      </c>
      <c r="W13" s="44" t="s">
        <v>30</v>
      </c>
      <c r="X13" s="44" t="s">
        <v>189</v>
      </c>
      <c r="Y13" s="44" t="s">
        <v>20</v>
      </c>
      <c r="Z13" s="47"/>
      <c r="AA13" s="44" t="s">
        <v>11</v>
      </c>
      <c r="AB13" s="44">
        <v>1</v>
      </c>
      <c r="AC13" s="44">
        <v>0.1</v>
      </c>
      <c r="AD13" s="45">
        <f>tblWorkInstructions[[#This Row],[Manning]]*tblWorkInstructions[[#This Row],[Task Duration (hrs)]]</f>
        <v>0.1</v>
      </c>
      <c r="AE13" s="44" t="s">
        <v>9</v>
      </c>
      <c r="AF13" s="45"/>
      <c r="AH13" s="9"/>
    </row>
    <row r="14" spans="2:34" ht="38.25" x14ac:dyDescent="0.2">
      <c r="B14" s="45">
        <f>ROW(tblWorkInstructions[[#This Row],[ID]])-ROW(tblWorkInstructions[[#Headers],[ID]])</f>
        <v>12</v>
      </c>
      <c r="C14" s="44" t="s">
        <v>266</v>
      </c>
      <c r="D14" s="44" t="s">
        <v>265</v>
      </c>
      <c r="E14" s="44" t="s">
        <v>248</v>
      </c>
      <c r="F14" s="48" t="s">
        <v>287</v>
      </c>
      <c r="G14" s="48" t="s">
        <v>288</v>
      </c>
      <c r="H14" s="45"/>
      <c r="I14" s="45"/>
      <c r="J14" s="45">
        <v>1</v>
      </c>
      <c r="K14" s="49" t="s">
        <v>285</v>
      </c>
      <c r="L14" s="45"/>
      <c r="M14" s="45"/>
      <c r="N14" s="45"/>
      <c r="O14" s="45"/>
      <c r="P14" s="45"/>
      <c r="Q14" s="45"/>
      <c r="R14" s="50"/>
      <c r="S14" s="45"/>
      <c r="T14" s="45"/>
      <c r="U14" s="45"/>
      <c r="V14" s="44">
        <v>6</v>
      </c>
      <c r="W14" s="44" t="s">
        <v>30</v>
      </c>
      <c r="X14" s="44" t="s">
        <v>189</v>
      </c>
      <c r="Y14" s="44" t="s">
        <v>20</v>
      </c>
      <c r="Z14" s="47"/>
      <c r="AA14" s="44" t="s">
        <v>11</v>
      </c>
      <c r="AB14" s="44">
        <v>1</v>
      </c>
      <c r="AC14" s="44">
        <v>0.1</v>
      </c>
      <c r="AD14" s="45">
        <f>tblWorkInstructions[[#This Row],[Manning]]*tblWorkInstructions[[#This Row],[Task Duration (hrs)]]</f>
        <v>0.1</v>
      </c>
      <c r="AE14" s="44" t="s">
        <v>9</v>
      </c>
      <c r="AF14" s="45"/>
      <c r="AH14" s="9"/>
    </row>
    <row r="15" spans="2:34" ht="25.5" x14ac:dyDescent="0.2">
      <c r="B15" s="45">
        <f>ROW(tblWorkInstructions[[#This Row],[ID]])-ROW(tblWorkInstructions[[#Headers],[ID]])</f>
        <v>13</v>
      </c>
      <c r="C15" s="44" t="s">
        <v>266</v>
      </c>
      <c r="D15" s="44" t="s">
        <v>265</v>
      </c>
      <c r="E15" s="44" t="s">
        <v>248</v>
      </c>
      <c r="F15" s="48" t="s">
        <v>291</v>
      </c>
      <c r="G15" s="48" t="s">
        <v>292</v>
      </c>
      <c r="H15" s="45"/>
      <c r="I15" s="45"/>
      <c r="J15" s="45">
        <v>1</v>
      </c>
      <c r="K15" s="49" t="s">
        <v>286</v>
      </c>
      <c r="L15" s="45"/>
      <c r="M15" s="45"/>
      <c r="N15" s="45"/>
      <c r="O15" s="45"/>
      <c r="P15" s="45"/>
      <c r="Q15" s="45"/>
      <c r="R15" s="45"/>
      <c r="S15" s="45"/>
      <c r="T15" s="45"/>
      <c r="U15" s="50" t="str">
        <f>HYPERLINK(ImageFolder &amp; "Cooling Fans.JPG","Cooling Fans.JPG")</f>
        <v>Cooling Fans.JPG</v>
      </c>
      <c r="V15" s="44">
        <v>6</v>
      </c>
      <c r="W15" s="44" t="s">
        <v>30</v>
      </c>
      <c r="X15" s="44" t="s">
        <v>189</v>
      </c>
      <c r="Y15" s="44" t="s">
        <v>20</v>
      </c>
      <c r="Z15" s="47"/>
      <c r="AA15" s="44" t="s">
        <v>11</v>
      </c>
      <c r="AB15" s="44">
        <v>1</v>
      </c>
      <c r="AC15" s="44">
        <v>0.1</v>
      </c>
      <c r="AD15" s="45">
        <f>tblWorkInstructions[[#This Row],[Manning]]*tblWorkInstructions[[#This Row],[Task Duration (hrs)]]</f>
        <v>0.1</v>
      </c>
      <c r="AE15" s="44" t="s">
        <v>9</v>
      </c>
      <c r="AF15" s="45"/>
      <c r="AH15" s="9"/>
    </row>
    <row r="16" spans="2:34" ht="25.5" x14ac:dyDescent="0.2">
      <c r="B16" s="45">
        <f>ROW(tblWorkInstructions[[#This Row],[ID]])-ROW(tblWorkInstructions[[#Headers],[ID]])</f>
        <v>14</v>
      </c>
      <c r="C16" s="44" t="s">
        <v>266</v>
      </c>
      <c r="D16" s="44" t="s">
        <v>265</v>
      </c>
      <c r="E16" s="44" t="s">
        <v>248</v>
      </c>
      <c r="F16" s="48" t="s">
        <v>289</v>
      </c>
      <c r="G16" s="48" t="s">
        <v>290</v>
      </c>
      <c r="H16" s="45"/>
      <c r="I16" s="45"/>
      <c r="J16" s="45">
        <v>1</v>
      </c>
      <c r="K16" s="46" t="s">
        <v>275</v>
      </c>
      <c r="L16" s="45"/>
      <c r="M16" s="45"/>
      <c r="N16" s="45"/>
      <c r="O16" s="45"/>
      <c r="P16" s="45"/>
      <c r="Q16" s="45"/>
      <c r="R16" s="45"/>
      <c r="S16" s="45"/>
      <c r="T16" s="45"/>
      <c r="U16" s="45"/>
      <c r="V16" s="44">
        <v>6</v>
      </c>
      <c r="W16" s="44" t="s">
        <v>30</v>
      </c>
      <c r="X16" s="44" t="s">
        <v>189</v>
      </c>
      <c r="Y16" s="44" t="s">
        <v>20</v>
      </c>
      <c r="Z16" s="47"/>
      <c r="AA16" s="44" t="s">
        <v>11</v>
      </c>
      <c r="AB16" s="44">
        <v>1</v>
      </c>
      <c r="AC16" s="44">
        <v>0.1</v>
      </c>
      <c r="AD16" s="45">
        <f>tblWorkInstructions[[#This Row],[Manning]]*tblWorkInstructions[[#This Row],[Task Duration (hrs)]]</f>
        <v>0.1</v>
      </c>
      <c r="AE16" s="44" t="s">
        <v>9</v>
      </c>
      <c r="AF16" s="45"/>
    </row>
    <row r="17" spans="2:32" ht="38.25" x14ac:dyDescent="0.2">
      <c r="B17" s="45">
        <f>ROW(tblWorkInstructions[[#This Row],[ID]])-ROW(tblWorkInstructions[[#Headers],[ID]])</f>
        <v>15</v>
      </c>
      <c r="C17" s="44" t="s">
        <v>266</v>
      </c>
      <c r="D17" s="44" t="s">
        <v>265</v>
      </c>
      <c r="E17" s="44" t="s">
        <v>248</v>
      </c>
      <c r="F17" s="25" t="s">
        <v>279</v>
      </c>
      <c r="G17" s="25" t="s">
        <v>280</v>
      </c>
      <c r="H17" s="45"/>
      <c r="I17" s="45"/>
      <c r="J17" s="45">
        <v>1</v>
      </c>
      <c r="K17" s="46" t="s">
        <v>276</v>
      </c>
      <c r="L17" s="45"/>
      <c r="M17" s="45"/>
      <c r="N17" s="45"/>
      <c r="O17" s="45"/>
      <c r="P17" s="45"/>
      <c r="Q17" s="45"/>
      <c r="R17" s="45"/>
      <c r="S17" s="45"/>
      <c r="T17" s="45"/>
      <c r="U17" s="45"/>
      <c r="V17" s="44">
        <v>6</v>
      </c>
      <c r="W17" s="44" t="s">
        <v>30</v>
      </c>
      <c r="X17" s="44" t="s">
        <v>189</v>
      </c>
      <c r="Y17" s="44" t="s">
        <v>20</v>
      </c>
      <c r="Z17" s="47"/>
      <c r="AA17" s="44" t="s">
        <v>11</v>
      </c>
      <c r="AB17" s="44">
        <v>1</v>
      </c>
      <c r="AC17" s="44">
        <v>0.1</v>
      </c>
      <c r="AD17" s="45">
        <f>tblWorkInstructions[[#This Row],[Manning]]*tblWorkInstructions[[#This Row],[Task Duration (hrs)]]</f>
        <v>0.1</v>
      </c>
      <c r="AE17" s="44" t="s">
        <v>9</v>
      </c>
      <c r="AF17" s="45"/>
    </row>
    <row r="18" spans="2:32" ht="25.5" x14ac:dyDescent="0.2">
      <c r="B18" s="45">
        <f>ROW(tblWorkInstructions[[#This Row],[ID]])-ROW(tblWorkInstructions[[#Headers],[ID]])</f>
        <v>16</v>
      </c>
      <c r="C18" s="44" t="s">
        <v>266</v>
      </c>
      <c r="D18" s="44" t="s">
        <v>265</v>
      </c>
      <c r="E18" s="44" t="s">
        <v>248</v>
      </c>
      <c r="F18" s="48" t="s">
        <v>293</v>
      </c>
      <c r="G18" s="48" t="s">
        <v>306</v>
      </c>
      <c r="H18" s="45"/>
      <c r="I18" s="45"/>
      <c r="J18" s="45">
        <v>1</v>
      </c>
      <c r="K18" s="46" t="s">
        <v>277</v>
      </c>
      <c r="L18" s="45"/>
      <c r="M18" s="45"/>
      <c r="N18" s="45"/>
      <c r="O18" s="45"/>
      <c r="P18" s="45"/>
      <c r="Q18" s="45"/>
      <c r="R18" s="45"/>
      <c r="S18" s="45"/>
      <c r="T18" s="45"/>
      <c r="U18" s="45"/>
      <c r="V18" s="44">
        <v>6</v>
      </c>
      <c r="W18" s="44" t="s">
        <v>30</v>
      </c>
      <c r="X18" s="44" t="s">
        <v>189</v>
      </c>
      <c r="Y18" s="44" t="s">
        <v>20</v>
      </c>
      <c r="Z18" s="47"/>
      <c r="AA18" s="44" t="s">
        <v>11</v>
      </c>
      <c r="AB18" s="44">
        <v>1</v>
      </c>
      <c r="AC18" s="44">
        <v>0.1</v>
      </c>
      <c r="AD18" s="45">
        <f>tblWorkInstructions[[#This Row],[Manning]]*tblWorkInstructions[[#This Row],[Task Duration (hrs)]]</f>
        <v>0.1</v>
      </c>
      <c r="AE18" s="44" t="s">
        <v>9</v>
      </c>
      <c r="AF18" s="45"/>
    </row>
    <row r="19" spans="2:32" ht="25.5" x14ac:dyDescent="0.2">
      <c r="B19" s="45">
        <f>ROW(tblWorkInstructions[[#This Row],[ID]])-ROW(tblWorkInstructions[[#Headers],[ID]])</f>
        <v>17</v>
      </c>
      <c r="C19" s="44" t="s">
        <v>266</v>
      </c>
      <c r="D19" s="44" t="s">
        <v>265</v>
      </c>
      <c r="E19" s="44" t="s">
        <v>248</v>
      </c>
      <c r="F19" s="48" t="s">
        <v>294</v>
      </c>
      <c r="G19" s="48" t="s">
        <v>295</v>
      </c>
      <c r="H19" s="48" t="s">
        <v>296</v>
      </c>
      <c r="I19" s="48" t="s">
        <v>297</v>
      </c>
      <c r="J19" s="45">
        <v>1</v>
      </c>
      <c r="K19" s="46" t="s">
        <v>278</v>
      </c>
      <c r="L19" s="45"/>
      <c r="M19" s="45"/>
      <c r="N19" s="45"/>
      <c r="O19" s="45"/>
      <c r="P19" s="45"/>
      <c r="Q19" s="45"/>
      <c r="R19" s="45"/>
      <c r="S19" s="45"/>
      <c r="T19" s="45"/>
      <c r="U19" s="50" t="str">
        <f>HYPERLINK(ImageFolder &amp; "Temperature Indicators.jpg","Temperature Indicators.jpg")</f>
        <v>Temperature Indicators.jpg</v>
      </c>
      <c r="V19" s="44">
        <v>6</v>
      </c>
      <c r="W19" s="44" t="s">
        <v>30</v>
      </c>
      <c r="X19" s="44" t="s">
        <v>189</v>
      </c>
      <c r="Y19" s="44" t="s">
        <v>20</v>
      </c>
      <c r="Z19" s="47"/>
      <c r="AA19" s="44" t="s">
        <v>11</v>
      </c>
      <c r="AB19" s="44">
        <v>1</v>
      </c>
      <c r="AC19" s="44">
        <v>0.1</v>
      </c>
      <c r="AD19" s="45">
        <f>tblWorkInstructions[[#This Row],[Manning]]*tblWorkInstructions[[#This Row],[Task Duration (hrs)]]</f>
        <v>0.1</v>
      </c>
      <c r="AE19" s="44" t="s">
        <v>9</v>
      </c>
      <c r="AF19" s="45"/>
    </row>
    <row r="20" spans="2:32" ht="51" x14ac:dyDescent="0.2">
      <c r="B20" s="45">
        <f>ROW(tblWorkInstructions[[#This Row],[ID]])-ROW(tblWorkInstructions[[#Headers],[ID]])</f>
        <v>18</v>
      </c>
      <c r="C20" s="45" t="s">
        <v>266</v>
      </c>
      <c r="D20" s="48" t="s">
        <v>265</v>
      </c>
      <c r="E20" s="48" t="s">
        <v>248</v>
      </c>
      <c r="F20" s="48" t="s">
        <v>311</v>
      </c>
      <c r="G20" s="48" t="s">
        <v>312</v>
      </c>
      <c r="H20" s="45"/>
      <c r="I20" s="45"/>
      <c r="J20" s="45">
        <v>1</v>
      </c>
      <c r="K20" s="49" t="s">
        <v>313</v>
      </c>
      <c r="L20" s="48" t="s">
        <v>283</v>
      </c>
      <c r="M20" s="45"/>
      <c r="N20" s="45"/>
      <c r="O20" s="45"/>
      <c r="P20" s="45"/>
      <c r="Q20" s="45"/>
      <c r="R20" s="45"/>
      <c r="S20" s="45"/>
      <c r="T20" s="45"/>
      <c r="U20" s="50" t="str">
        <f>HYPERLINK(ImageFolder &amp; "Buchholz Relay.jpg","Buchholz Relay.jpg")</f>
        <v>Buchholz Relay.jpg</v>
      </c>
      <c r="V20" s="45">
        <v>12</v>
      </c>
      <c r="W20" s="48" t="s">
        <v>30</v>
      </c>
      <c r="X20" s="48" t="s">
        <v>189</v>
      </c>
      <c r="Y20" s="48" t="s">
        <v>20</v>
      </c>
      <c r="Z20" s="51" t="s">
        <v>314</v>
      </c>
      <c r="AA20" s="48" t="s">
        <v>12</v>
      </c>
      <c r="AB20" s="45">
        <v>1</v>
      </c>
      <c r="AC20" s="45">
        <v>0.5</v>
      </c>
      <c r="AD20" s="45">
        <f>tblWorkInstructions[[#This Row],[Manning]]*tblWorkInstructions[[#This Row],[Task Duration (hrs)]]</f>
        <v>0.5</v>
      </c>
      <c r="AE20" s="48" t="s">
        <v>9</v>
      </c>
      <c r="AF20" s="48" t="s">
        <v>315</v>
      </c>
    </row>
  </sheetData>
  <sheetProtection insertRows="0" insertHyperlinks="0" deleteRows="0" sort="0" autoFilter="0"/>
  <phoneticPr fontId="4" type="noConversion"/>
  <dataValidations count="7">
    <dataValidation type="list" allowBlank="1" showInputMessage="1" showErrorMessage="1" sqref="X3:X20">
      <formula1>Trade</formula1>
    </dataValidation>
    <dataValidation type="list" allowBlank="1" showInputMessage="1" showErrorMessage="1" sqref="W3:W20">
      <formula1>Interval_Units</formula1>
    </dataValidation>
    <dataValidation type="list" allowBlank="1" showInputMessage="1" showErrorMessage="1" sqref="V3:V20">
      <formula1>Interval</formula1>
    </dataValidation>
    <dataValidation type="list" allowBlank="1" showInputMessage="1" showErrorMessage="1" sqref="AA3:AA20">
      <formula1>Equipment_Status</formula1>
    </dataValidation>
    <dataValidation type="list" allowBlank="1" showInputMessage="1" showErrorMessage="1" sqref="S3:S20">
      <formula1>WarningSafetyLabel</formula1>
    </dataValidation>
    <dataValidation type="list" allowBlank="1" showInputMessage="1" showErrorMessage="1" sqref="Y3:Y20">
      <formula1>Task_Type</formula1>
    </dataValidation>
    <dataValidation type="list" allowBlank="1" showInputMessage="1" showErrorMessage="1" sqref="AE3:AE20 AF13:AF19">
      <formula1>Changes</formula1>
    </dataValidation>
  </dataValidations>
  <pageMargins left="0.23622047244094491" right="0.23622047244094491" top="0.74803149606299213" bottom="0.74803149606299213" header="0.31496062992125984" footer="0.31496062992125984"/>
  <pageSetup paperSize="8" scale="66" fitToHeight="0" orientation="landscape" horizontalDpi="4294967293" verticalDpi="300" r:id="rId1"/>
  <headerFooter alignWithMargins="0">
    <oddHeader>&amp;L&amp;G
&amp;"-,Bold"&amp;12RESD / PRT Writer&amp;R&amp;A</oddHeader>
    <oddFooter>&amp;L&amp;Z&amp;F&amp;RPrinted on: &amp;D @ &amp;T</oddFooter>
  </headerFooter>
  <ignoredErrors>
    <ignoredError sqref="AD3:AD12" unlockedFormula="1"/>
  </ignoredErrors>
  <legacyDrawingHF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skSummary">
    <pageSetUpPr fitToPage="1"/>
  </sheetPr>
  <dimension ref="A1:AG2332"/>
  <sheetViews>
    <sheetView showGridLines="0" topLeftCell="B1" zoomScale="90" zoomScaleNormal="90" zoomScaleSheetLayoutView="25" workbookViewId="0">
      <pane ySplit="3" topLeftCell="A4" activePane="bottomLeft" state="frozenSplit"/>
      <selection activeCell="G85" sqref="G85"/>
      <selection pane="bottomLeft" activeCell="H8" sqref="H8"/>
    </sheetView>
  </sheetViews>
  <sheetFormatPr defaultColWidth="8.85546875" defaultRowHeight="12.75" x14ac:dyDescent="0.2"/>
  <cols>
    <col min="1" max="1" width="4" hidden="1" customWidth="1"/>
    <col min="2" max="2" width="23.28515625" bestFit="1" customWidth="1"/>
    <col min="3" max="4" width="10.28515625" bestFit="1" customWidth="1"/>
    <col min="5" max="5" width="13.140625" style="1" bestFit="1" customWidth="1"/>
    <col min="6" max="6" width="9" style="1" bestFit="1" customWidth="1"/>
    <col min="7" max="7" width="7.7109375" style="1" bestFit="1" customWidth="1"/>
    <col min="8" max="8" width="26.42578125" bestFit="1" customWidth="1"/>
    <col min="9" max="9" width="17.7109375" style="1" bestFit="1" customWidth="1"/>
    <col min="10" max="10" width="11.28515625" style="1" bestFit="1" customWidth="1"/>
    <col min="11" max="11" width="20.7109375" bestFit="1" customWidth="1"/>
    <col min="12" max="12" width="24.42578125" bestFit="1" customWidth="1"/>
    <col min="13" max="13" width="56.28515625" bestFit="1" customWidth="1"/>
    <col min="14" max="14" width="57" bestFit="1" customWidth="1"/>
    <col min="15" max="15" width="23.28515625" bestFit="1" customWidth="1"/>
    <col min="16" max="16" width="15.5703125" bestFit="1" customWidth="1"/>
    <col min="17" max="19" width="3.28515625" bestFit="1" customWidth="1"/>
    <col min="20" max="20" width="17.85546875" customWidth="1"/>
    <col min="21" max="21" width="25.28515625" customWidth="1"/>
    <col min="22" max="23" width="15" customWidth="1"/>
    <col min="24" max="24" width="16.7109375" customWidth="1"/>
    <col min="25" max="25" width="14" customWidth="1"/>
    <col min="26" max="26" width="17.140625" customWidth="1"/>
    <col min="27" max="27" width="19.5703125" customWidth="1"/>
    <col min="28" max="28" width="4.85546875" customWidth="1"/>
    <col min="29" max="34" width="8.85546875" customWidth="1"/>
    <col min="35" max="35" width="11.28515625" customWidth="1"/>
    <col min="36" max="36" width="15" customWidth="1"/>
    <col min="37" max="37" width="17.85546875" customWidth="1"/>
    <col min="38" max="38" width="19.28515625" customWidth="1"/>
    <col min="39" max="39" width="17.42578125" customWidth="1"/>
    <col min="40" max="40" width="15.85546875" customWidth="1"/>
    <col min="41" max="41" width="17.42578125" customWidth="1"/>
    <col min="42" max="42" width="15.85546875" customWidth="1"/>
    <col min="43" max="43" width="17.42578125" customWidth="1"/>
  </cols>
  <sheetData>
    <row r="1" spans="1:33" hidden="1" x14ac:dyDescent="0.2">
      <c r="A1">
        <f>MATCH("Grand Total",B:B,0)</f>
        <v>22</v>
      </c>
    </row>
    <row r="2" spans="1:33" x14ac:dyDescent="0.2">
      <c r="B2" s="4" t="s">
        <v>42</v>
      </c>
      <c r="E2"/>
      <c r="F2"/>
      <c r="G2"/>
      <c r="I2"/>
      <c r="J2"/>
    </row>
    <row r="3" spans="1:33" s="1" customFormat="1" ht="31.9" customHeight="1" x14ac:dyDescent="0.2">
      <c r="B3" s="4" t="s">
        <v>201</v>
      </c>
      <c r="C3" s="6" t="s">
        <v>18</v>
      </c>
      <c r="D3" s="6" t="s">
        <v>19</v>
      </c>
      <c r="E3" s="6" t="s">
        <v>39</v>
      </c>
      <c r="F3" s="6" t="s">
        <v>14</v>
      </c>
      <c r="G3" s="4" t="s">
        <v>211</v>
      </c>
      <c r="H3" s="4" t="s">
        <v>212</v>
      </c>
      <c r="I3" s="6" t="s">
        <v>129</v>
      </c>
      <c r="J3" s="6" t="s">
        <v>139</v>
      </c>
      <c r="K3" s="6" t="s">
        <v>140</v>
      </c>
      <c r="L3" s="4" t="s">
        <v>162</v>
      </c>
      <c r="M3" s="6" t="s">
        <v>2</v>
      </c>
      <c r="N3" s="4" t="s">
        <v>253</v>
      </c>
      <c r="O3" s="4" t="s">
        <v>163</v>
      </c>
      <c r="P3" s="4" t="s">
        <v>161</v>
      </c>
      <c r="Q3" s="7" t="s">
        <v>44</v>
      </c>
      <c r="R3"/>
      <c r="S3"/>
    </row>
    <row r="4" spans="1:33" ht="25.5" x14ac:dyDescent="0.2">
      <c r="B4" s="44" t="s">
        <v>248</v>
      </c>
      <c r="C4" s="10">
        <v>6</v>
      </c>
      <c r="D4" s="52" t="s">
        <v>30</v>
      </c>
      <c r="E4" s="44" t="s">
        <v>11</v>
      </c>
      <c r="F4" s="1" t="s">
        <v>189</v>
      </c>
      <c r="G4" s="44" t="s">
        <v>250</v>
      </c>
      <c r="H4" s="44" t="s">
        <v>251</v>
      </c>
      <c r="I4" s="44">
        <v>1</v>
      </c>
      <c r="J4" s="44" t="s">
        <v>257</v>
      </c>
      <c r="K4" s="44" t="s">
        <v>258</v>
      </c>
      <c r="L4" s="44" t="s">
        <v>118</v>
      </c>
      <c r="M4" s="1" t="s">
        <v>252</v>
      </c>
      <c r="N4" s="44" t="s">
        <v>254</v>
      </c>
      <c r="O4" s="44" t="s">
        <v>197</v>
      </c>
      <c r="P4" s="44" t="s">
        <v>118</v>
      </c>
      <c r="Q4" s="5">
        <v>1</v>
      </c>
      <c r="AC4" s="5"/>
      <c r="AD4" s="5"/>
      <c r="AE4" s="5"/>
      <c r="AF4" s="5"/>
      <c r="AG4" s="5"/>
    </row>
    <row r="5" spans="1:33" x14ac:dyDescent="0.2">
      <c r="D5" s="52"/>
      <c r="E5"/>
      <c r="G5"/>
      <c r="I5" s="44">
        <v>2</v>
      </c>
      <c r="J5" s="44" t="s">
        <v>257</v>
      </c>
      <c r="K5" s="44" t="s">
        <v>258</v>
      </c>
      <c r="L5" s="44" t="s">
        <v>118</v>
      </c>
      <c r="M5" s="1" t="s">
        <v>255</v>
      </c>
      <c r="N5" s="44" t="s">
        <v>118</v>
      </c>
      <c r="O5" s="44" t="s">
        <v>118</v>
      </c>
      <c r="P5" s="44" t="s">
        <v>118</v>
      </c>
      <c r="Q5" s="5">
        <v>1</v>
      </c>
      <c r="AC5" s="5"/>
      <c r="AD5" s="5"/>
      <c r="AE5" s="5"/>
      <c r="AF5" s="5"/>
      <c r="AG5" s="5"/>
    </row>
    <row r="6" spans="1:33" x14ac:dyDescent="0.2">
      <c r="D6" s="52"/>
      <c r="E6"/>
      <c r="G6"/>
      <c r="I6" s="44">
        <v>3</v>
      </c>
      <c r="J6" s="44" t="s">
        <v>257</v>
      </c>
      <c r="K6" s="44" t="s">
        <v>258</v>
      </c>
      <c r="L6" s="44" t="s">
        <v>118</v>
      </c>
      <c r="M6" s="1" t="s">
        <v>256</v>
      </c>
      <c r="N6" s="44" t="s">
        <v>118</v>
      </c>
      <c r="O6" s="44" t="s">
        <v>118</v>
      </c>
      <c r="P6" s="44" t="s">
        <v>118</v>
      </c>
      <c r="Q6" s="5">
        <v>1</v>
      </c>
      <c r="AC6" s="5"/>
      <c r="AD6" s="5"/>
      <c r="AE6" s="5"/>
      <c r="AF6" s="5"/>
      <c r="AG6" s="5"/>
    </row>
    <row r="7" spans="1:33" x14ac:dyDescent="0.2">
      <c r="D7" s="52"/>
      <c r="E7"/>
      <c r="G7"/>
      <c r="I7" s="44">
        <v>4</v>
      </c>
      <c r="J7" s="44" t="s">
        <v>257</v>
      </c>
      <c r="K7" s="44" t="s">
        <v>258</v>
      </c>
      <c r="L7" s="44" t="s">
        <v>118</v>
      </c>
      <c r="M7" s="1" t="s">
        <v>302</v>
      </c>
      <c r="N7" s="44" t="s">
        <v>118</v>
      </c>
      <c r="O7" s="44" t="s">
        <v>118</v>
      </c>
      <c r="P7" s="44" t="s">
        <v>118</v>
      </c>
      <c r="Q7" s="5">
        <v>1</v>
      </c>
      <c r="AC7" s="5"/>
      <c r="AD7" s="5"/>
      <c r="AE7" s="5"/>
      <c r="AF7" s="5"/>
      <c r="AG7" s="5"/>
    </row>
    <row r="8" spans="1:33" ht="25.5" x14ac:dyDescent="0.2">
      <c r="D8" s="52"/>
      <c r="E8"/>
      <c r="G8" s="44" t="s">
        <v>260</v>
      </c>
      <c r="H8" s="44" t="s">
        <v>261</v>
      </c>
      <c r="I8" s="44">
        <v>1</v>
      </c>
      <c r="J8" s="44" t="s">
        <v>118</v>
      </c>
      <c r="K8" s="44" t="s">
        <v>118</v>
      </c>
      <c r="L8" s="44" t="s">
        <v>268</v>
      </c>
      <c r="M8" s="1" t="s">
        <v>264</v>
      </c>
      <c r="N8" s="44" t="s">
        <v>263</v>
      </c>
      <c r="O8" s="44" t="s">
        <v>118</v>
      </c>
      <c r="P8" s="44" t="s">
        <v>118</v>
      </c>
      <c r="Q8" s="5">
        <v>1</v>
      </c>
      <c r="AC8" s="5"/>
      <c r="AD8" s="5"/>
      <c r="AE8" s="5"/>
      <c r="AF8" s="5"/>
      <c r="AG8" s="5"/>
    </row>
    <row r="9" spans="1:33" ht="25.5" x14ac:dyDescent="0.2">
      <c r="D9" s="52"/>
      <c r="E9"/>
      <c r="G9" s="44" t="s">
        <v>279</v>
      </c>
      <c r="H9" s="44" t="s">
        <v>280</v>
      </c>
      <c r="I9" s="44">
        <v>1</v>
      </c>
      <c r="J9" s="44" t="s">
        <v>118</v>
      </c>
      <c r="K9" s="44" t="s">
        <v>118</v>
      </c>
      <c r="L9" s="44" t="s">
        <v>118</v>
      </c>
      <c r="M9" s="1" t="s">
        <v>276</v>
      </c>
      <c r="N9" s="44" t="s">
        <v>118</v>
      </c>
      <c r="O9" s="44" t="s">
        <v>118</v>
      </c>
      <c r="P9" s="44" t="s">
        <v>118</v>
      </c>
      <c r="Q9" s="5">
        <v>1</v>
      </c>
      <c r="AC9" s="5"/>
      <c r="AD9" s="5"/>
      <c r="AE9" s="5"/>
      <c r="AF9" s="5"/>
      <c r="AG9" s="5"/>
    </row>
    <row r="10" spans="1:33" ht="38.25" x14ac:dyDescent="0.2">
      <c r="D10" s="52"/>
      <c r="E10"/>
      <c r="G10"/>
      <c r="I10"/>
      <c r="J10"/>
      <c r="L10" s="44" t="s">
        <v>318</v>
      </c>
      <c r="M10" s="1" t="s">
        <v>269</v>
      </c>
      <c r="N10" s="44" t="s">
        <v>118</v>
      </c>
      <c r="O10" s="44" t="s">
        <v>196</v>
      </c>
      <c r="P10" s="44" t="s">
        <v>319</v>
      </c>
      <c r="Q10" s="5">
        <v>1</v>
      </c>
      <c r="AC10" s="5"/>
      <c r="AD10" s="5"/>
      <c r="AE10" s="5"/>
      <c r="AF10" s="5"/>
      <c r="AG10" s="5"/>
    </row>
    <row r="11" spans="1:33" ht="25.5" x14ac:dyDescent="0.2">
      <c r="D11" s="52"/>
      <c r="E11"/>
      <c r="G11" s="44" t="s">
        <v>281</v>
      </c>
      <c r="H11" s="44" t="s">
        <v>282</v>
      </c>
      <c r="I11" s="44">
        <v>3</v>
      </c>
      <c r="J11" s="44" t="s">
        <v>118</v>
      </c>
      <c r="K11" s="44" t="s">
        <v>118</v>
      </c>
      <c r="L11" s="44" t="s">
        <v>320</v>
      </c>
      <c r="M11" s="1" t="s">
        <v>273</v>
      </c>
      <c r="N11" s="44" t="s">
        <v>118</v>
      </c>
      <c r="O11" s="44" t="s">
        <v>118</v>
      </c>
      <c r="P11" s="44" t="s">
        <v>118</v>
      </c>
      <c r="Q11" s="5">
        <v>1</v>
      </c>
      <c r="AC11" s="5"/>
      <c r="AD11" s="5"/>
      <c r="AE11" s="5"/>
      <c r="AF11" s="5"/>
      <c r="AG11" s="5"/>
    </row>
    <row r="12" spans="1:33" x14ac:dyDescent="0.2">
      <c r="D12" s="52"/>
      <c r="E12"/>
      <c r="G12" s="44" t="s">
        <v>284</v>
      </c>
      <c r="H12" s="44" t="s">
        <v>307</v>
      </c>
      <c r="I12" s="44">
        <v>1</v>
      </c>
      <c r="J12" s="44" t="s">
        <v>118</v>
      </c>
      <c r="K12" s="44" t="s">
        <v>118</v>
      </c>
      <c r="L12" s="44" t="s">
        <v>118</v>
      </c>
      <c r="M12" s="1" t="s">
        <v>274</v>
      </c>
      <c r="N12" s="44" t="s">
        <v>118</v>
      </c>
      <c r="O12" s="44" t="s">
        <v>118</v>
      </c>
      <c r="P12" s="44" t="s">
        <v>118</v>
      </c>
      <c r="Q12" s="5">
        <v>1</v>
      </c>
      <c r="AC12" s="5"/>
      <c r="AD12" s="5"/>
      <c r="AE12" s="5"/>
      <c r="AF12" s="5"/>
      <c r="AG12" s="5"/>
    </row>
    <row r="13" spans="1:33" ht="38.25" x14ac:dyDescent="0.2">
      <c r="D13" s="52"/>
      <c r="E13"/>
      <c r="G13" s="44" t="s">
        <v>287</v>
      </c>
      <c r="H13" s="44" t="s">
        <v>288</v>
      </c>
      <c r="I13" s="44">
        <v>1</v>
      </c>
      <c r="J13" s="44" t="s">
        <v>118</v>
      </c>
      <c r="K13" s="44" t="s">
        <v>118</v>
      </c>
      <c r="L13" s="44" t="s">
        <v>118</v>
      </c>
      <c r="M13" s="1" t="s">
        <v>285</v>
      </c>
      <c r="N13" s="44" t="s">
        <v>118</v>
      </c>
      <c r="O13" s="44" t="s">
        <v>118</v>
      </c>
      <c r="P13" s="44" t="s">
        <v>118</v>
      </c>
      <c r="Q13" s="5">
        <v>1</v>
      </c>
      <c r="AC13" s="5"/>
      <c r="AD13" s="5"/>
      <c r="AE13" s="5"/>
      <c r="AF13" s="5"/>
      <c r="AG13" s="5"/>
    </row>
    <row r="14" spans="1:33" ht="25.5" x14ac:dyDescent="0.2">
      <c r="D14" s="52"/>
      <c r="E14"/>
      <c r="G14" s="44" t="s">
        <v>291</v>
      </c>
      <c r="H14" s="44" t="s">
        <v>292</v>
      </c>
      <c r="I14" s="44">
        <v>1</v>
      </c>
      <c r="J14" s="44" t="s">
        <v>118</v>
      </c>
      <c r="K14" s="44" t="s">
        <v>118</v>
      </c>
      <c r="L14" s="44" t="s">
        <v>321</v>
      </c>
      <c r="M14" s="1" t="s">
        <v>286</v>
      </c>
      <c r="N14" s="44" t="s">
        <v>118</v>
      </c>
      <c r="O14" s="44" t="s">
        <v>118</v>
      </c>
      <c r="P14" s="44" t="s">
        <v>118</v>
      </c>
      <c r="Q14" s="5">
        <v>1</v>
      </c>
      <c r="AC14" s="5"/>
      <c r="AD14" s="5"/>
      <c r="AE14" s="5"/>
      <c r="AF14" s="5"/>
      <c r="AG14" s="5"/>
    </row>
    <row r="15" spans="1:33" ht="25.5" x14ac:dyDescent="0.2">
      <c r="D15" s="52"/>
      <c r="E15"/>
      <c r="G15" s="44" t="s">
        <v>289</v>
      </c>
      <c r="H15" s="44" t="s">
        <v>290</v>
      </c>
      <c r="I15" s="44">
        <v>1</v>
      </c>
      <c r="J15" s="44" t="s">
        <v>118</v>
      </c>
      <c r="K15" s="44" t="s">
        <v>118</v>
      </c>
      <c r="L15" s="44" t="s">
        <v>118</v>
      </c>
      <c r="M15" s="1" t="s">
        <v>275</v>
      </c>
      <c r="N15" s="44" t="s">
        <v>118</v>
      </c>
      <c r="O15" s="44" t="s">
        <v>118</v>
      </c>
      <c r="P15" s="44" t="s">
        <v>118</v>
      </c>
      <c r="Q15" s="5">
        <v>1</v>
      </c>
      <c r="AC15" s="5"/>
      <c r="AD15" s="5"/>
      <c r="AE15" s="5"/>
      <c r="AF15" s="5"/>
      <c r="AG15" s="5"/>
    </row>
    <row r="16" spans="1:33" ht="25.5" x14ac:dyDescent="0.2">
      <c r="D16" s="52"/>
      <c r="E16"/>
      <c r="G16" s="44" t="s">
        <v>293</v>
      </c>
      <c r="H16" s="44" t="s">
        <v>306</v>
      </c>
      <c r="I16" s="44">
        <v>1</v>
      </c>
      <c r="J16" s="44" t="s">
        <v>118</v>
      </c>
      <c r="K16" s="44" t="s">
        <v>118</v>
      </c>
      <c r="L16" s="44" t="s">
        <v>118</v>
      </c>
      <c r="M16" s="1" t="s">
        <v>277</v>
      </c>
      <c r="N16" s="44" t="s">
        <v>118</v>
      </c>
      <c r="O16" s="44" t="s">
        <v>118</v>
      </c>
      <c r="P16" s="44" t="s">
        <v>118</v>
      </c>
      <c r="Q16" s="5">
        <v>1</v>
      </c>
      <c r="AC16" s="5"/>
      <c r="AD16" s="5"/>
      <c r="AE16" s="5"/>
      <c r="AF16" s="5"/>
      <c r="AG16" s="5"/>
    </row>
    <row r="17" spans="2:33" ht="25.5" x14ac:dyDescent="0.2">
      <c r="D17" s="52"/>
      <c r="E17"/>
      <c r="G17" s="44" t="s">
        <v>294</v>
      </c>
      <c r="H17" s="44" t="s">
        <v>295</v>
      </c>
      <c r="I17" s="44">
        <v>1</v>
      </c>
      <c r="J17" s="44" t="s">
        <v>296</v>
      </c>
      <c r="K17" s="44" t="s">
        <v>297</v>
      </c>
      <c r="L17" s="44" t="s">
        <v>322</v>
      </c>
      <c r="M17" s="1" t="s">
        <v>278</v>
      </c>
      <c r="N17" s="44" t="s">
        <v>118</v>
      </c>
      <c r="O17" s="44" t="s">
        <v>118</v>
      </c>
      <c r="P17" s="44" t="s">
        <v>118</v>
      </c>
      <c r="Q17" s="5">
        <v>1</v>
      </c>
      <c r="AC17" s="5"/>
      <c r="AD17" s="5"/>
      <c r="AE17" s="5"/>
      <c r="AF17" s="5"/>
      <c r="AG17" s="5"/>
    </row>
    <row r="18" spans="2:33" ht="25.5" x14ac:dyDescent="0.2">
      <c r="C18" s="10">
        <v>12</v>
      </c>
      <c r="D18" s="52" t="s">
        <v>30</v>
      </c>
      <c r="E18" s="44" t="s">
        <v>12</v>
      </c>
      <c r="F18" s="1" t="s">
        <v>189</v>
      </c>
      <c r="G18" s="44" t="s">
        <v>279</v>
      </c>
      <c r="H18" s="44" t="s">
        <v>280</v>
      </c>
      <c r="I18" s="44">
        <v>2</v>
      </c>
      <c r="J18" s="44" t="s">
        <v>118</v>
      </c>
      <c r="K18" s="44" t="s">
        <v>118</v>
      </c>
      <c r="L18" s="44" t="s">
        <v>118</v>
      </c>
      <c r="M18" s="1" t="s">
        <v>270</v>
      </c>
      <c r="N18" s="44" t="s">
        <v>118</v>
      </c>
      <c r="O18" s="44" t="s">
        <v>118</v>
      </c>
      <c r="P18" s="44" t="s">
        <v>118</v>
      </c>
      <c r="Q18" s="5">
        <v>1</v>
      </c>
      <c r="AC18" s="5"/>
      <c r="AD18" s="5"/>
      <c r="AE18" s="5"/>
      <c r="AF18" s="5"/>
      <c r="AG18" s="5"/>
    </row>
    <row r="19" spans="2:33" x14ac:dyDescent="0.2">
      <c r="D19" s="52"/>
      <c r="E19"/>
      <c r="G19" s="44" t="s">
        <v>281</v>
      </c>
      <c r="H19" s="44" t="s">
        <v>282</v>
      </c>
      <c r="I19" s="44">
        <v>1</v>
      </c>
      <c r="J19" s="44" t="s">
        <v>118</v>
      </c>
      <c r="K19" s="44" t="s">
        <v>118</v>
      </c>
      <c r="L19" s="44" t="s">
        <v>316</v>
      </c>
      <c r="M19" s="1" t="s">
        <v>271</v>
      </c>
      <c r="N19" s="44" t="s">
        <v>118</v>
      </c>
      <c r="O19" s="44" t="s">
        <v>118</v>
      </c>
      <c r="P19" s="44" t="s">
        <v>118</v>
      </c>
      <c r="Q19" s="5">
        <v>1</v>
      </c>
      <c r="AC19" s="5"/>
      <c r="AD19" s="5"/>
      <c r="AE19" s="5"/>
      <c r="AF19" s="5"/>
      <c r="AG19" s="5"/>
    </row>
    <row r="20" spans="2:33" ht="51" x14ac:dyDescent="0.2">
      <c r="D20" s="52"/>
      <c r="E20"/>
      <c r="G20"/>
      <c r="I20" s="44">
        <v>2</v>
      </c>
      <c r="J20" s="44" t="s">
        <v>118</v>
      </c>
      <c r="K20" s="44" t="s">
        <v>118</v>
      </c>
      <c r="L20" s="44" t="s">
        <v>322</v>
      </c>
      <c r="M20" s="1" t="s">
        <v>272</v>
      </c>
      <c r="N20" s="44" t="s">
        <v>118</v>
      </c>
      <c r="O20" s="44" t="s">
        <v>118</v>
      </c>
      <c r="P20" s="44" t="s">
        <v>118</v>
      </c>
      <c r="Q20" s="5">
        <v>1</v>
      </c>
      <c r="AC20" s="5"/>
      <c r="AD20" s="5"/>
      <c r="AE20" s="5"/>
      <c r="AF20" s="5"/>
      <c r="AG20" s="5"/>
    </row>
    <row r="21" spans="2:33" ht="25.5" x14ac:dyDescent="0.2">
      <c r="D21" s="52"/>
      <c r="E21"/>
      <c r="G21" s="44" t="s">
        <v>311</v>
      </c>
      <c r="H21" s="44" t="s">
        <v>312</v>
      </c>
      <c r="I21" s="44">
        <v>1</v>
      </c>
      <c r="J21" s="44" t="s">
        <v>118</v>
      </c>
      <c r="K21" s="44" t="s">
        <v>118</v>
      </c>
      <c r="L21" s="44" t="s">
        <v>317</v>
      </c>
      <c r="M21" s="1" t="s">
        <v>313</v>
      </c>
      <c r="N21" s="44" t="s">
        <v>314</v>
      </c>
      <c r="O21" s="44" t="s">
        <v>118</v>
      </c>
      <c r="P21" s="44" t="s">
        <v>118</v>
      </c>
      <c r="Q21" s="5">
        <v>1</v>
      </c>
      <c r="AC21" s="5"/>
      <c r="AD21" s="5"/>
      <c r="AE21" s="5"/>
      <c r="AF21" s="5"/>
      <c r="AG21" s="5"/>
    </row>
    <row r="22" spans="2:33" x14ac:dyDescent="0.2">
      <c r="B22" s="1" t="s">
        <v>41</v>
      </c>
      <c r="C22" s="1"/>
      <c r="D22" s="1"/>
      <c r="H22" s="1"/>
      <c r="K22" s="1"/>
      <c r="L22" s="1"/>
      <c r="M22" s="1"/>
      <c r="N22" s="1"/>
      <c r="O22" s="1"/>
      <c r="P22" s="1"/>
      <c r="Q22" s="5">
        <v>18</v>
      </c>
      <c r="AC22" s="5"/>
      <c r="AD22" s="5"/>
      <c r="AE22" s="5"/>
      <c r="AF22" s="5"/>
      <c r="AG22" s="5"/>
    </row>
    <row r="23" spans="2:33" x14ac:dyDescent="0.2">
      <c r="E23"/>
      <c r="F23"/>
      <c r="G23"/>
      <c r="I23"/>
      <c r="J23"/>
      <c r="AC23" s="5"/>
      <c r="AD23" s="5"/>
      <c r="AE23" s="5"/>
      <c r="AF23" s="5"/>
      <c r="AG23" s="5"/>
    </row>
    <row r="24" spans="2:33" x14ac:dyDescent="0.2">
      <c r="E24"/>
      <c r="F24"/>
      <c r="G24"/>
      <c r="I24"/>
      <c r="J24"/>
      <c r="AC24" s="5"/>
      <c r="AD24" s="5"/>
      <c r="AE24" s="5"/>
      <c r="AF24" s="5"/>
      <c r="AG24" s="5"/>
    </row>
    <row r="25" spans="2:33" x14ac:dyDescent="0.2">
      <c r="E25"/>
      <c r="F25"/>
      <c r="G25"/>
      <c r="I25"/>
      <c r="J25"/>
      <c r="AC25" s="5"/>
      <c r="AD25" s="5"/>
      <c r="AE25" s="5"/>
      <c r="AF25" s="5"/>
      <c r="AG25" s="5"/>
    </row>
    <row r="26" spans="2:33" x14ac:dyDescent="0.2">
      <c r="E26"/>
      <c r="F26"/>
      <c r="G26"/>
      <c r="I26"/>
      <c r="J26"/>
    </row>
    <row r="27" spans="2:33" x14ac:dyDescent="0.2">
      <c r="E27"/>
      <c r="F27"/>
      <c r="G27"/>
      <c r="I27"/>
      <c r="J27"/>
    </row>
    <row r="28" spans="2:33" x14ac:dyDescent="0.2">
      <c r="E28"/>
      <c r="F28"/>
      <c r="G28"/>
      <c r="I28"/>
      <c r="J28"/>
    </row>
    <row r="29" spans="2:33" x14ac:dyDescent="0.2">
      <c r="E29"/>
      <c r="F29"/>
      <c r="G29"/>
      <c r="I29"/>
      <c r="J29"/>
    </row>
    <row r="30" spans="2:33" x14ac:dyDescent="0.2">
      <c r="E30"/>
      <c r="F30"/>
      <c r="G30"/>
      <c r="I30"/>
      <c r="J30"/>
    </row>
    <row r="31" spans="2:33" x14ac:dyDescent="0.2">
      <c r="E31"/>
      <c r="F31"/>
      <c r="G31"/>
      <c r="I31"/>
      <c r="J31"/>
    </row>
    <row r="32" spans="2:33" x14ac:dyDescent="0.2">
      <c r="E32"/>
      <c r="F32"/>
      <c r="G32"/>
      <c r="I32"/>
      <c r="J32"/>
    </row>
    <row r="33" spans="5:10" x14ac:dyDescent="0.2">
      <c r="E33"/>
      <c r="F33"/>
      <c r="G33"/>
      <c r="I33"/>
      <c r="J33"/>
    </row>
    <row r="34" spans="5:10" x14ac:dyDescent="0.2">
      <c r="E34"/>
      <c r="F34"/>
      <c r="G34"/>
      <c r="I34"/>
      <c r="J34"/>
    </row>
    <row r="35" spans="5:10" x14ac:dyDescent="0.2">
      <c r="E35"/>
      <c r="F35"/>
      <c r="G35"/>
      <c r="I35"/>
      <c r="J35"/>
    </row>
    <row r="36" spans="5:10" x14ac:dyDescent="0.2">
      <c r="E36"/>
      <c r="F36"/>
      <c r="G36"/>
      <c r="I36"/>
      <c r="J36"/>
    </row>
    <row r="37" spans="5:10" x14ac:dyDescent="0.2">
      <c r="E37"/>
      <c r="F37"/>
      <c r="G37"/>
      <c r="I37"/>
      <c r="J37"/>
    </row>
    <row r="38" spans="5:10" x14ac:dyDescent="0.2">
      <c r="E38"/>
      <c r="F38"/>
      <c r="G38"/>
      <c r="I38"/>
      <c r="J38"/>
    </row>
    <row r="39" spans="5:10" x14ac:dyDescent="0.2">
      <c r="E39"/>
      <c r="F39"/>
      <c r="G39"/>
      <c r="I39"/>
      <c r="J39"/>
    </row>
    <row r="40" spans="5:10" x14ac:dyDescent="0.2">
      <c r="E40"/>
      <c r="F40"/>
      <c r="G40"/>
      <c r="I40"/>
      <c r="J40"/>
    </row>
    <row r="41" spans="5:10" x14ac:dyDescent="0.2">
      <c r="E41"/>
      <c r="F41"/>
      <c r="G41"/>
      <c r="I41"/>
      <c r="J41"/>
    </row>
    <row r="42" spans="5:10" x14ac:dyDescent="0.2">
      <c r="E42"/>
      <c r="F42"/>
      <c r="G42"/>
      <c r="I42"/>
      <c r="J42"/>
    </row>
    <row r="43" spans="5:10" x14ac:dyDescent="0.2">
      <c r="E43"/>
      <c r="F43"/>
      <c r="G43"/>
      <c r="I43"/>
      <c r="J43"/>
    </row>
    <row r="44" spans="5:10" x14ac:dyDescent="0.2">
      <c r="E44"/>
      <c r="F44"/>
      <c r="G44"/>
      <c r="I44"/>
      <c r="J44"/>
    </row>
    <row r="45" spans="5:10" x14ac:dyDescent="0.2">
      <c r="E45"/>
      <c r="F45"/>
      <c r="G45"/>
      <c r="I45"/>
      <c r="J45"/>
    </row>
    <row r="46" spans="5:10" x14ac:dyDescent="0.2">
      <c r="E46"/>
      <c r="F46"/>
      <c r="G46"/>
      <c r="I46"/>
      <c r="J46"/>
    </row>
    <row r="47" spans="5:10" x14ac:dyDescent="0.2">
      <c r="E47"/>
      <c r="F47"/>
      <c r="G47"/>
      <c r="I47"/>
      <c r="J47"/>
    </row>
    <row r="48" spans="5:10" x14ac:dyDescent="0.2">
      <c r="E48"/>
      <c r="F48"/>
      <c r="G48"/>
      <c r="I48"/>
      <c r="J48"/>
    </row>
    <row r="49" spans="5:10" x14ac:dyDescent="0.2">
      <c r="E49"/>
      <c r="F49"/>
      <c r="G49"/>
      <c r="I49"/>
      <c r="J49"/>
    </row>
    <row r="50" spans="5:10" x14ac:dyDescent="0.2">
      <c r="E50"/>
      <c r="F50"/>
      <c r="G50"/>
      <c r="I50"/>
      <c r="J50"/>
    </row>
    <row r="51" spans="5:10" x14ac:dyDescent="0.2">
      <c r="E51"/>
      <c r="F51"/>
      <c r="G51"/>
      <c r="I51"/>
      <c r="J51"/>
    </row>
    <row r="52" spans="5:10" x14ac:dyDescent="0.2">
      <c r="E52"/>
      <c r="F52"/>
      <c r="G52"/>
      <c r="I52"/>
      <c r="J52"/>
    </row>
    <row r="53" spans="5:10" x14ac:dyDescent="0.2">
      <c r="E53"/>
      <c r="F53"/>
      <c r="G53"/>
      <c r="I53"/>
      <c r="J53"/>
    </row>
    <row r="54" spans="5:10" x14ac:dyDescent="0.2">
      <c r="E54"/>
      <c r="F54"/>
      <c r="G54"/>
      <c r="I54"/>
      <c r="J54"/>
    </row>
    <row r="55" spans="5:10" x14ac:dyDescent="0.2">
      <c r="E55"/>
      <c r="F55"/>
      <c r="G55"/>
      <c r="I55"/>
      <c r="J55"/>
    </row>
    <row r="56" spans="5:10" x14ac:dyDescent="0.2">
      <c r="E56"/>
      <c r="F56"/>
      <c r="G56"/>
      <c r="I56"/>
      <c r="J56"/>
    </row>
    <row r="57" spans="5:10" x14ac:dyDescent="0.2">
      <c r="E57"/>
      <c r="F57"/>
      <c r="G57"/>
      <c r="I57"/>
      <c r="J57"/>
    </row>
    <row r="58" spans="5:10" x14ac:dyDescent="0.2">
      <c r="E58"/>
      <c r="F58"/>
      <c r="G58"/>
      <c r="I58"/>
      <c r="J58"/>
    </row>
    <row r="59" spans="5:10" x14ac:dyDescent="0.2">
      <c r="E59"/>
      <c r="F59"/>
      <c r="G59"/>
      <c r="I59"/>
      <c r="J59"/>
    </row>
    <row r="60" spans="5:10" x14ac:dyDescent="0.2">
      <c r="E60"/>
      <c r="F60"/>
      <c r="G60"/>
      <c r="I60"/>
      <c r="J60"/>
    </row>
    <row r="61" spans="5:10" x14ac:dyDescent="0.2">
      <c r="E61"/>
      <c r="F61"/>
      <c r="G61"/>
      <c r="I61"/>
      <c r="J61"/>
    </row>
    <row r="62" spans="5:10" x14ac:dyDescent="0.2">
      <c r="E62"/>
      <c r="F62"/>
      <c r="G62"/>
      <c r="I62"/>
      <c r="J62"/>
    </row>
    <row r="63" spans="5:10" x14ac:dyDescent="0.2">
      <c r="E63"/>
      <c r="F63"/>
      <c r="G63"/>
      <c r="I63"/>
      <c r="J63"/>
    </row>
    <row r="64" spans="5:10" x14ac:dyDescent="0.2">
      <c r="E64"/>
      <c r="F64"/>
      <c r="G64"/>
      <c r="I64"/>
      <c r="J64"/>
    </row>
    <row r="65" spans="5:10" x14ac:dyDescent="0.2">
      <c r="E65"/>
      <c r="F65"/>
      <c r="G65"/>
      <c r="I65"/>
      <c r="J65"/>
    </row>
    <row r="66" spans="5:10" x14ac:dyDescent="0.2">
      <c r="E66"/>
      <c r="F66"/>
      <c r="G66"/>
      <c r="I66"/>
      <c r="J66"/>
    </row>
    <row r="67" spans="5:10" x14ac:dyDescent="0.2">
      <c r="E67"/>
      <c r="F67"/>
      <c r="G67"/>
      <c r="I67"/>
      <c r="J67"/>
    </row>
    <row r="68" spans="5:10" x14ac:dyDescent="0.2">
      <c r="E68"/>
      <c r="F68"/>
      <c r="G68"/>
      <c r="I68"/>
      <c r="J68"/>
    </row>
    <row r="69" spans="5:10" x14ac:dyDescent="0.2">
      <c r="E69"/>
      <c r="F69"/>
      <c r="G69"/>
      <c r="I69"/>
      <c r="J69"/>
    </row>
    <row r="70" spans="5:10" x14ac:dyDescent="0.2">
      <c r="E70"/>
      <c r="F70"/>
      <c r="G70"/>
      <c r="I70"/>
      <c r="J70"/>
    </row>
    <row r="71" spans="5:10" x14ac:dyDescent="0.2">
      <c r="E71"/>
      <c r="F71"/>
      <c r="G71"/>
      <c r="I71"/>
      <c r="J71"/>
    </row>
    <row r="72" spans="5:10" x14ac:dyDescent="0.2">
      <c r="E72"/>
      <c r="F72"/>
      <c r="G72"/>
      <c r="I72"/>
      <c r="J72"/>
    </row>
    <row r="73" spans="5:10" x14ac:dyDescent="0.2">
      <c r="E73"/>
      <c r="F73"/>
      <c r="G73"/>
      <c r="I73"/>
      <c r="J73"/>
    </row>
    <row r="74" spans="5:10" x14ac:dyDescent="0.2">
      <c r="E74"/>
      <c r="F74"/>
      <c r="G74"/>
      <c r="I74"/>
      <c r="J74"/>
    </row>
    <row r="75" spans="5:10" x14ac:dyDescent="0.2">
      <c r="E75"/>
      <c r="F75"/>
      <c r="G75"/>
      <c r="I75"/>
      <c r="J75"/>
    </row>
    <row r="76" spans="5:10" x14ac:dyDescent="0.2">
      <c r="E76"/>
      <c r="F76"/>
      <c r="G76"/>
      <c r="I76"/>
      <c r="J76"/>
    </row>
    <row r="77" spans="5:10" x14ac:dyDescent="0.2">
      <c r="E77"/>
      <c r="F77"/>
      <c r="G77"/>
      <c r="I77"/>
      <c r="J77"/>
    </row>
    <row r="78" spans="5:10" x14ac:dyDescent="0.2">
      <c r="E78"/>
      <c r="F78"/>
      <c r="G78"/>
      <c r="I78"/>
      <c r="J78"/>
    </row>
    <row r="79" spans="5:10" x14ac:dyDescent="0.2">
      <c r="E79"/>
      <c r="F79"/>
      <c r="G79"/>
      <c r="I79"/>
      <c r="J79"/>
    </row>
    <row r="80" spans="5:10" x14ac:dyDescent="0.2">
      <c r="E80"/>
      <c r="F80"/>
      <c r="G80"/>
      <c r="I80"/>
      <c r="J80"/>
    </row>
    <row r="81" spans="5:10" x14ac:dyDescent="0.2">
      <c r="E81"/>
      <c r="F81"/>
      <c r="G81"/>
      <c r="I81"/>
      <c r="J81"/>
    </row>
    <row r="82" spans="5:10" x14ac:dyDescent="0.2">
      <c r="E82"/>
      <c r="F82"/>
      <c r="G82"/>
      <c r="I82"/>
      <c r="J82"/>
    </row>
    <row r="83" spans="5:10" x14ac:dyDescent="0.2">
      <c r="E83"/>
      <c r="F83"/>
      <c r="G83"/>
      <c r="I83"/>
      <c r="J83"/>
    </row>
    <row r="84" spans="5:10" x14ac:dyDescent="0.2">
      <c r="E84"/>
      <c r="F84"/>
      <c r="G84"/>
      <c r="I84"/>
      <c r="J84"/>
    </row>
    <row r="85" spans="5:10" x14ac:dyDescent="0.2">
      <c r="E85"/>
      <c r="F85"/>
      <c r="G85"/>
      <c r="I85"/>
      <c r="J85"/>
    </row>
    <row r="86" spans="5:10" x14ac:dyDescent="0.2">
      <c r="E86"/>
      <c r="F86"/>
      <c r="G86"/>
      <c r="I86"/>
      <c r="J86"/>
    </row>
    <row r="87" spans="5:10" x14ac:dyDescent="0.2">
      <c r="E87"/>
      <c r="F87"/>
      <c r="G87"/>
      <c r="I87"/>
      <c r="J87"/>
    </row>
    <row r="88" spans="5:10" x14ac:dyDescent="0.2">
      <c r="E88"/>
      <c r="F88"/>
      <c r="G88"/>
      <c r="I88"/>
      <c r="J88"/>
    </row>
    <row r="89" spans="5:10" x14ac:dyDescent="0.2">
      <c r="E89"/>
      <c r="F89"/>
      <c r="G89"/>
      <c r="I89"/>
      <c r="J89"/>
    </row>
    <row r="90" spans="5:10" x14ac:dyDescent="0.2">
      <c r="E90"/>
      <c r="F90"/>
      <c r="G90"/>
      <c r="I90"/>
      <c r="J90"/>
    </row>
    <row r="91" spans="5:10" x14ac:dyDescent="0.2">
      <c r="E91"/>
      <c r="F91"/>
      <c r="G91"/>
      <c r="I91"/>
      <c r="J91"/>
    </row>
    <row r="92" spans="5:10" x14ac:dyDescent="0.2">
      <c r="E92"/>
      <c r="F92"/>
      <c r="G92"/>
      <c r="I92"/>
      <c r="J92"/>
    </row>
    <row r="93" spans="5:10" x14ac:dyDescent="0.2">
      <c r="E93"/>
      <c r="F93"/>
      <c r="G93"/>
      <c r="I93"/>
      <c r="J93"/>
    </row>
    <row r="94" spans="5:10" x14ac:dyDescent="0.2">
      <c r="E94"/>
      <c r="F94"/>
      <c r="G94"/>
      <c r="I94"/>
      <c r="J94"/>
    </row>
    <row r="95" spans="5:10" x14ac:dyDescent="0.2">
      <c r="E95"/>
      <c r="F95"/>
      <c r="G95"/>
      <c r="I95"/>
      <c r="J95"/>
    </row>
    <row r="96" spans="5:10" x14ac:dyDescent="0.2">
      <c r="E96"/>
      <c r="F96"/>
      <c r="G96"/>
      <c r="I96"/>
      <c r="J96"/>
    </row>
    <row r="97" spans="5:10" x14ac:dyDescent="0.2">
      <c r="E97"/>
      <c r="F97"/>
      <c r="G97"/>
      <c r="I97"/>
      <c r="J97"/>
    </row>
    <row r="98" spans="5:10" x14ac:dyDescent="0.2">
      <c r="E98"/>
      <c r="F98"/>
      <c r="G98"/>
      <c r="I98"/>
      <c r="J98"/>
    </row>
    <row r="99" spans="5:10" x14ac:dyDescent="0.2">
      <c r="E99"/>
      <c r="F99"/>
      <c r="G99"/>
      <c r="I99"/>
      <c r="J99"/>
    </row>
    <row r="100" spans="5:10" x14ac:dyDescent="0.2">
      <c r="E100"/>
      <c r="F100"/>
      <c r="G100"/>
      <c r="I100"/>
      <c r="J100"/>
    </row>
    <row r="101" spans="5:10" x14ac:dyDescent="0.2">
      <c r="E101"/>
      <c r="F101"/>
      <c r="G101"/>
      <c r="I101"/>
      <c r="J101"/>
    </row>
    <row r="102" spans="5:10" x14ac:dyDescent="0.2">
      <c r="E102"/>
      <c r="F102"/>
      <c r="G102"/>
      <c r="I102"/>
      <c r="J102"/>
    </row>
    <row r="103" spans="5:10" x14ac:dyDescent="0.2">
      <c r="E103"/>
      <c r="F103"/>
      <c r="G103"/>
      <c r="I103"/>
      <c r="J103"/>
    </row>
    <row r="104" spans="5:10" x14ac:dyDescent="0.2">
      <c r="E104"/>
      <c r="F104"/>
      <c r="G104"/>
      <c r="I104"/>
      <c r="J104"/>
    </row>
    <row r="105" spans="5:10" x14ac:dyDescent="0.2">
      <c r="E105"/>
      <c r="F105"/>
      <c r="G105"/>
      <c r="I105"/>
      <c r="J105"/>
    </row>
    <row r="106" spans="5:10" x14ac:dyDescent="0.2">
      <c r="E106"/>
      <c r="F106"/>
      <c r="G106"/>
      <c r="I106"/>
      <c r="J106"/>
    </row>
    <row r="107" spans="5:10" x14ac:dyDescent="0.2">
      <c r="E107"/>
      <c r="F107"/>
      <c r="G107"/>
      <c r="I107"/>
      <c r="J107"/>
    </row>
    <row r="108" spans="5:10" x14ac:dyDescent="0.2">
      <c r="E108"/>
      <c r="F108"/>
      <c r="G108"/>
      <c r="I108"/>
      <c r="J108"/>
    </row>
    <row r="109" spans="5:10" x14ac:dyDescent="0.2">
      <c r="E109"/>
      <c r="F109"/>
      <c r="G109"/>
      <c r="I109"/>
      <c r="J109"/>
    </row>
    <row r="110" spans="5:10" x14ac:dyDescent="0.2">
      <c r="E110"/>
      <c r="F110"/>
      <c r="G110"/>
      <c r="I110"/>
      <c r="J110"/>
    </row>
    <row r="111" spans="5:10" x14ac:dyDescent="0.2">
      <c r="E111"/>
      <c r="F111"/>
      <c r="G111"/>
      <c r="I111"/>
      <c r="J111"/>
    </row>
    <row r="112" spans="5:10" x14ac:dyDescent="0.2">
      <c r="E112"/>
      <c r="F112"/>
      <c r="G112"/>
      <c r="I112"/>
      <c r="J112"/>
    </row>
    <row r="113" spans="5:10" x14ac:dyDescent="0.2">
      <c r="E113"/>
      <c r="F113"/>
      <c r="G113"/>
      <c r="I113"/>
      <c r="J113"/>
    </row>
    <row r="114" spans="5:10" x14ac:dyDescent="0.2">
      <c r="E114"/>
      <c r="F114"/>
      <c r="G114"/>
      <c r="I114"/>
      <c r="J114"/>
    </row>
    <row r="115" spans="5:10" x14ac:dyDescent="0.2">
      <c r="E115"/>
      <c r="F115"/>
      <c r="G115"/>
      <c r="I115"/>
      <c r="J115"/>
    </row>
    <row r="116" spans="5:10" x14ac:dyDescent="0.2">
      <c r="E116"/>
      <c r="F116"/>
      <c r="G116"/>
      <c r="I116"/>
      <c r="J116"/>
    </row>
    <row r="117" spans="5:10" x14ac:dyDescent="0.2">
      <c r="E117"/>
      <c r="F117"/>
      <c r="G117"/>
      <c r="I117"/>
      <c r="J117"/>
    </row>
    <row r="118" spans="5:10" x14ac:dyDescent="0.2">
      <c r="E118"/>
      <c r="F118"/>
      <c r="G118"/>
      <c r="I118"/>
      <c r="J118"/>
    </row>
    <row r="119" spans="5:10" x14ac:dyDescent="0.2">
      <c r="E119"/>
      <c r="F119"/>
      <c r="G119"/>
      <c r="I119"/>
      <c r="J119"/>
    </row>
    <row r="120" spans="5:10" x14ac:dyDescent="0.2">
      <c r="E120"/>
      <c r="F120"/>
      <c r="G120"/>
      <c r="I120"/>
      <c r="J120"/>
    </row>
    <row r="121" spans="5:10" x14ac:dyDescent="0.2">
      <c r="E121"/>
      <c r="F121"/>
      <c r="G121"/>
      <c r="I121"/>
      <c r="J121"/>
    </row>
    <row r="122" spans="5:10" x14ac:dyDescent="0.2">
      <c r="E122"/>
      <c r="F122"/>
      <c r="G122"/>
      <c r="I122"/>
      <c r="J122"/>
    </row>
    <row r="123" spans="5:10" x14ac:dyDescent="0.2">
      <c r="E123"/>
      <c r="F123"/>
      <c r="G123"/>
      <c r="I123"/>
      <c r="J123"/>
    </row>
    <row r="124" spans="5:10" x14ac:dyDescent="0.2">
      <c r="E124"/>
      <c r="F124"/>
      <c r="G124"/>
      <c r="I124"/>
      <c r="J124"/>
    </row>
    <row r="125" spans="5:10" x14ac:dyDescent="0.2">
      <c r="E125"/>
      <c r="F125"/>
      <c r="G125"/>
      <c r="I125"/>
      <c r="J125"/>
    </row>
    <row r="126" spans="5:10" x14ac:dyDescent="0.2">
      <c r="E126"/>
      <c r="F126"/>
      <c r="G126"/>
      <c r="I126"/>
      <c r="J126"/>
    </row>
    <row r="127" spans="5:10" x14ac:dyDescent="0.2">
      <c r="E127"/>
      <c r="F127"/>
      <c r="G127"/>
      <c r="I127"/>
      <c r="J127"/>
    </row>
    <row r="128" spans="5:10" x14ac:dyDescent="0.2">
      <c r="E128"/>
      <c r="F128"/>
      <c r="G128"/>
      <c r="I128"/>
      <c r="J128"/>
    </row>
    <row r="129" spans="5:10" x14ac:dyDescent="0.2">
      <c r="E129"/>
      <c r="F129"/>
      <c r="G129"/>
      <c r="I129"/>
      <c r="J129"/>
    </row>
    <row r="130" spans="5:10" x14ac:dyDescent="0.2">
      <c r="E130"/>
      <c r="F130"/>
      <c r="G130"/>
      <c r="I130"/>
      <c r="J130"/>
    </row>
    <row r="131" spans="5:10" x14ac:dyDescent="0.2">
      <c r="E131"/>
      <c r="F131"/>
      <c r="G131"/>
      <c r="I131"/>
      <c r="J131"/>
    </row>
    <row r="132" spans="5:10" x14ac:dyDescent="0.2">
      <c r="E132"/>
      <c r="F132"/>
      <c r="G132"/>
      <c r="I132"/>
      <c r="J132"/>
    </row>
    <row r="133" spans="5:10" x14ac:dyDescent="0.2">
      <c r="E133"/>
      <c r="F133"/>
      <c r="G133"/>
      <c r="I133"/>
      <c r="J133"/>
    </row>
    <row r="134" spans="5:10" x14ac:dyDescent="0.2">
      <c r="E134"/>
      <c r="F134"/>
      <c r="G134"/>
      <c r="I134"/>
      <c r="J134"/>
    </row>
    <row r="135" spans="5:10" x14ac:dyDescent="0.2">
      <c r="E135"/>
      <c r="F135"/>
      <c r="G135"/>
      <c r="I135"/>
      <c r="J135"/>
    </row>
    <row r="136" spans="5:10" x14ac:dyDescent="0.2">
      <c r="E136"/>
      <c r="F136"/>
      <c r="G136"/>
      <c r="I136"/>
      <c r="J136"/>
    </row>
    <row r="137" spans="5:10" x14ac:dyDescent="0.2">
      <c r="E137"/>
      <c r="F137"/>
      <c r="G137"/>
      <c r="I137"/>
      <c r="J137"/>
    </row>
    <row r="138" spans="5:10" x14ac:dyDescent="0.2">
      <c r="E138"/>
      <c r="F138"/>
      <c r="G138"/>
      <c r="I138"/>
      <c r="J138"/>
    </row>
    <row r="139" spans="5:10" x14ac:dyDescent="0.2">
      <c r="E139"/>
      <c r="F139"/>
      <c r="G139"/>
      <c r="I139"/>
      <c r="J139"/>
    </row>
    <row r="140" spans="5:10" x14ac:dyDescent="0.2">
      <c r="E140"/>
      <c r="F140"/>
      <c r="G140"/>
      <c r="I140"/>
      <c r="J140"/>
    </row>
    <row r="141" spans="5:10" x14ac:dyDescent="0.2">
      <c r="E141"/>
      <c r="F141"/>
      <c r="G141"/>
      <c r="I141"/>
      <c r="J141"/>
    </row>
    <row r="142" spans="5:10" x14ac:dyDescent="0.2">
      <c r="E142"/>
      <c r="F142"/>
      <c r="G142"/>
      <c r="I142"/>
      <c r="J142"/>
    </row>
    <row r="143" spans="5:10" x14ac:dyDescent="0.2">
      <c r="E143"/>
      <c r="F143"/>
      <c r="G143"/>
      <c r="I143"/>
      <c r="J143"/>
    </row>
    <row r="144" spans="5:10" x14ac:dyDescent="0.2">
      <c r="E144"/>
      <c r="F144"/>
      <c r="G144"/>
      <c r="I144"/>
      <c r="J144"/>
    </row>
    <row r="145" spans="5:10" x14ac:dyDescent="0.2">
      <c r="E145"/>
      <c r="F145"/>
      <c r="G145"/>
      <c r="I145"/>
      <c r="J145"/>
    </row>
    <row r="146" spans="5:10" x14ac:dyDescent="0.2">
      <c r="E146"/>
      <c r="F146"/>
      <c r="G146"/>
      <c r="I146"/>
      <c r="J146"/>
    </row>
    <row r="147" spans="5:10" x14ac:dyDescent="0.2">
      <c r="E147"/>
      <c r="F147"/>
      <c r="G147"/>
      <c r="I147"/>
      <c r="J147"/>
    </row>
    <row r="148" spans="5:10" x14ac:dyDescent="0.2">
      <c r="E148"/>
      <c r="F148"/>
      <c r="G148"/>
      <c r="I148"/>
      <c r="J148"/>
    </row>
    <row r="149" spans="5:10" x14ac:dyDescent="0.2">
      <c r="E149"/>
      <c r="F149"/>
      <c r="G149"/>
      <c r="I149"/>
      <c r="J149"/>
    </row>
    <row r="150" spans="5:10" x14ac:dyDescent="0.2">
      <c r="E150"/>
      <c r="F150"/>
      <c r="G150"/>
      <c r="I150"/>
      <c r="J150"/>
    </row>
    <row r="151" spans="5:10" x14ac:dyDescent="0.2">
      <c r="E151"/>
      <c r="F151"/>
      <c r="G151"/>
      <c r="I151"/>
      <c r="J151"/>
    </row>
    <row r="152" spans="5:10" x14ac:dyDescent="0.2">
      <c r="E152"/>
      <c r="F152"/>
      <c r="G152"/>
      <c r="I152"/>
      <c r="J152"/>
    </row>
    <row r="153" spans="5:10" x14ac:dyDescent="0.2">
      <c r="E153"/>
      <c r="F153"/>
      <c r="G153"/>
      <c r="I153"/>
      <c r="J153"/>
    </row>
    <row r="154" spans="5:10" x14ac:dyDescent="0.2">
      <c r="E154"/>
      <c r="F154"/>
      <c r="G154"/>
      <c r="I154"/>
      <c r="J154"/>
    </row>
    <row r="155" spans="5:10" x14ac:dyDescent="0.2">
      <c r="E155"/>
      <c r="F155"/>
      <c r="G155"/>
      <c r="I155"/>
      <c r="J155"/>
    </row>
    <row r="156" spans="5:10" x14ac:dyDescent="0.2">
      <c r="E156"/>
      <c r="F156"/>
      <c r="G156"/>
      <c r="I156"/>
      <c r="J156"/>
    </row>
    <row r="157" spans="5:10" x14ac:dyDescent="0.2">
      <c r="E157"/>
      <c r="F157"/>
      <c r="G157"/>
      <c r="I157"/>
      <c r="J157"/>
    </row>
    <row r="158" spans="5:10" x14ac:dyDescent="0.2">
      <c r="E158"/>
      <c r="F158"/>
      <c r="G158"/>
      <c r="I158"/>
      <c r="J158"/>
    </row>
    <row r="159" spans="5:10" x14ac:dyDescent="0.2">
      <c r="E159"/>
      <c r="F159"/>
      <c r="G159"/>
      <c r="I159"/>
      <c r="J159"/>
    </row>
    <row r="160" spans="5:10" x14ac:dyDescent="0.2">
      <c r="E160"/>
      <c r="F160"/>
      <c r="G160"/>
      <c r="I160"/>
      <c r="J160"/>
    </row>
    <row r="161" spans="5:10" x14ac:dyDescent="0.2">
      <c r="E161"/>
      <c r="F161"/>
      <c r="G161"/>
      <c r="I161"/>
      <c r="J161"/>
    </row>
    <row r="162" spans="5:10" x14ac:dyDescent="0.2">
      <c r="E162"/>
      <c r="F162"/>
      <c r="G162"/>
      <c r="I162"/>
      <c r="J162"/>
    </row>
    <row r="163" spans="5:10" x14ac:dyDescent="0.2">
      <c r="E163"/>
      <c r="F163"/>
      <c r="G163"/>
      <c r="I163"/>
      <c r="J163"/>
    </row>
    <row r="164" spans="5:10" x14ac:dyDescent="0.2">
      <c r="E164"/>
      <c r="F164"/>
      <c r="G164"/>
      <c r="I164"/>
      <c r="J164"/>
    </row>
    <row r="165" spans="5:10" x14ac:dyDescent="0.2">
      <c r="E165"/>
      <c r="F165"/>
      <c r="G165"/>
      <c r="I165"/>
      <c r="J165"/>
    </row>
    <row r="166" spans="5:10" x14ac:dyDescent="0.2">
      <c r="E166"/>
      <c r="F166"/>
      <c r="G166"/>
      <c r="I166"/>
      <c r="J166"/>
    </row>
    <row r="167" spans="5:10" x14ac:dyDescent="0.2">
      <c r="E167"/>
      <c r="F167"/>
      <c r="G167"/>
      <c r="I167"/>
      <c r="J167"/>
    </row>
    <row r="168" spans="5:10" x14ac:dyDescent="0.2">
      <c r="E168"/>
      <c r="F168"/>
      <c r="G168"/>
      <c r="I168"/>
      <c r="J168"/>
    </row>
    <row r="169" spans="5:10" x14ac:dyDescent="0.2">
      <c r="E169"/>
      <c r="F169"/>
      <c r="G169"/>
      <c r="I169"/>
      <c r="J169"/>
    </row>
    <row r="170" spans="5:10" x14ac:dyDescent="0.2">
      <c r="E170"/>
      <c r="F170"/>
      <c r="G170"/>
      <c r="I170"/>
      <c r="J170"/>
    </row>
    <row r="171" spans="5:10" x14ac:dyDescent="0.2">
      <c r="E171"/>
      <c r="F171"/>
      <c r="G171"/>
      <c r="I171"/>
      <c r="J171"/>
    </row>
    <row r="172" spans="5:10" x14ac:dyDescent="0.2">
      <c r="E172"/>
      <c r="F172"/>
      <c r="G172"/>
      <c r="I172"/>
      <c r="J172"/>
    </row>
    <row r="173" spans="5:10" x14ac:dyDescent="0.2">
      <c r="E173"/>
      <c r="F173"/>
      <c r="G173"/>
      <c r="I173"/>
      <c r="J173"/>
    </row>
    <row r="174" spans="5:10" x14ac:dyDescent="0.2">
      <c r="E174"/>
      <c r="F174"/>
      <c r="G174"/>
      <c r="I174"/>
      <c r="J174"/>
    </row>
    <row r="175" spans="5:10" x14ac:dyDescent="0.2">
      <c r="E175"/>
      <c r="F175"/>
      <c r="G175"/>
      <c r="I175"/>
      <c r="J175"/>
    </row>
    <row r="176" spans="5:10" x14ac:dyDescent="0.2">
      <c r="E176"/>
      <c r="F176"/>
      <c r="G176"/>
      <c r="I176"/>
      <c r="J176"/>
    </row>
    <row r="177" spans="5:10" x14ac:dyDescent="0.2">
      <c r="E177"/>
      <c r="F177"/>
      <c r="G177"/>
      <c r="I177"/>
      <c r="J177"/>
    </row>
    <row r="178" spans="5:10" x14ac:dyDescent="0.2">
      <c r="E178"/>
      <c r="F178"/>
      <c r="G178"/>
      <c r="I178"/>
      <c r="J178"/>
    </row>
    <row r="179" spans="5:10" x14ac:dyDescent="0.2">
      <c r="E179"/>
      <c r="F179"/>
      <c r="G179"/>
      <c r="I179"/>
      <c r="J179"/>
    </row>
    <row r="180" spans="5:10" x14ac:dyDescent="0.2">
      <c r="E180"/>
      <c r="F180"/>
      <c r="G180"/>
      <c r="I180"/>
      <c r="J180"/>
    </row>
    <row r="181" spans="5:10" x14ac:dyDescent="0.2">
      <c r="E181"/>
      <c r="F181"/>
      <c r="G181"/>
      <c r="I181"/>
      <c r="J181"/>
    </row>
    <row r="182" spans="5:10" x14ac:dyDescent="0.2">
      <c r="E182"/>
      <c r="F182"/>
      <c r="G182"/>
      <c r="I182"/>
      <c r="J182"/>
    </row>
    <row r="183" spans="5:10" x14ac:dyDescent="0.2">
      <c r="E183"/>
      <c r="F183"/>
      <c r="G183"/>
      <c r="I183"/>
      <c r="J183"/>
    </row>
    <row r="184" spans="5:10" x14ac:dyDescent="0.2">
      <c r="E184"/>
      <c r="F184"/>
      <c r="G184"/>
      <c r="I184"/>
      <c r="J184"/>
    </row>
    <row r="185" spans="5:10" x14ac:dyDescent="0.2">
      <c r="E185"/>
      <c r="F185"/>
      <c r="G185"/>
      <c r="I185"/>
      <c r="J185"/>
    </row>
    <row r="186" spans="5:10" x14ac:dyDescent="0.2">
      <c r="E186"/>
      <c r="F186"/>
      <c r="G186"/>
      <c r="I186"/>
      <c r="J186"/>
    </row>
    <row r="187" spans="5:10" x14ac:dyDescent="0.2">
      <c r="E187"/>
      <c r="F187"/>
      <c r="G187"/>
      <c r="I187"/>
      <c r="J187"/>
    </row>
    <row r="188" spans="5:10" x14ac:dyDescent="0.2">
      <c r="E188"/>
      <c r="F188"/>
      <c r="G188"/>
      <c r="I188"/>
      <c r="J188"/>
    </row>
    <row r="189" spans="5:10" x14ac:dyDescent="0.2">
      <c r="E189"/>
      <c r="F189"/>
      <c r="G189"/>
      <c r="I189"/>
      <c r="J189"/>
    </row>
    <row r="190" spans="5:10" x14ac:dyDescent="0.2">
      <c r="E190"/>
      <c r="F190"/>
      <c r="G190"/>
      <c r="I190"/>
      <c r="J190"/>
    </row>
    <row r="191" spans="5:10" x14ac:dyDescent="0.2">
      <c r="E191"/>
      <c r="F191"/>
      <c r="G191"/>
      <c r="I191"/>
      <c r="J191"/>
    </row>
    <row r="192" spans="5:10" x14ac:dyDescent="0.2">
      <c r="E192"/>
      <c r="F192"/>
      <c r="G192"/>
      <c r="I192"/>
      <c r="J192"/>
    </row>
    <row r="193" spans="5:10" x14ac:dyDescent="0.2">
      <c r="E193"/>
      <c r="F193"/>
      <c r="G193"/>
      <c r="I193"/>
      <c r="J193"/>
    </row>
    <row r="194" spans="5:10" x14ac:dyDescent="0.2">
      <c r="E194"/>
      <c r="F194"/>
      <c r="G194"/>
      <c r="I194"/>
      <c r="J194"/>
    </row>
    <row r="195" spans="5:10" x14ac:dyDescent="0.2">
      <c r="E195"/>
      <c r="F195"/>
      <c r="G195"/>
      <c r="I195"/>
      <c r="J195"/>
    </row>
    <row r="196" spans="5:10" x14ac:dyDescent="0.2">
      <c r="E196"/>
      <c r="F196"/>
      <c r="G196"/>
      <c r="I196"/>
      <c r="J196"/>
    </row>
    <row r="197" spans="5:10" x14ac:dyDescent="0.2">
      <c r="E197"/>
      <c r="F197"/>
      <c r="G197"/>
      <c r="I197"/>
      <c r="J197"/>
    </row>
    <row r="198" spans="5:10" x14ac:dyDescent="0.2">
      <c r="E198"/>
      <c r="F198"/>
      <c r="G198"/>
      <c r="I198"/>
      <c r="J198"/>
    </row>
    <row r="199" spans="5:10" x14ac:dyDescent="0.2">
      <c r="E199"/>
      <c r="F199"/>
      <c r="G199"/>
      <c r="I199"/>
      <c r="J199"/>
    </row>
    <row r="200" spans="5:10" x14ac:dyDescent="0.2">
      <c r="E200"/>
      <c r="F200"/>
      <c r="G200"/>
      <c r="I200"/>
      <c r="J200"/>
    </row>
    <row r="201" spans="5:10" x14ac:dyDescent="0.2">
      <c r="E201"/>
      <c r="F201"/>
      <c r="G201"/>
      <c r="I201"/>
      <c r="J201"/>
    </row>
    <row r="202" spans="5:10" x14ac:dyDescent="0.2">
      <c r="E202"/>
      <c r="F202"/>
      <c r="G202"/>
      <c r="I202"/>
      <c r="J202"/>
    </row>
    <row r="203" spans="5:10" x14ac:dyDescent="0.2">
      <c r="E203"/>
      <c r="F203"/>
      <c r="G203"/>
      <c r="I203"/>
      <c r="J203"/>
    </row>
    <row r="204" spans="5:10" x14ac:dyDescent="0.2">
      <c r="E204"/>
      <c r="F204"/>
      <c r="G204"/>
      <c r="I204"/>
      <c r="J204"/>
    </row>
    <row r="205" spans="5:10" x14ac:dyDescent="0.2">
      <c r="E205"/>
      <c r="F205"/>
      <c r="G205"/>
      <c r="I205"/>
      <c r="J205"/>
    </row>
    <row r="206" spans="5:10" x14ac:dyDescent="0.2">
      <c r="E206"/>
      <c r="F206"/>
      <c r="G206"/>
      <c r="I206"/>
      <c r="J206"/>
    </row>
    <row r="207" spans="5:10" x14ac:dyDescent="0.2">
      <c r="E207"/>
      <c r="F207"/>
      <c r="G207"/>
      <c r="I207"/>
      <c r="J207"/>
    </row>
    <row r="208" spans="5:10" x14ac:dyDescent="0.2">
      <c r="E208"/>
      <c r="F208"/>
      <c r="G208"/>
      <c r="I208"/>
      <c r="J208"/>
    </row>
    <row r="209" spans="5:10" x14ac:dyDescent="0.2">
      <c r="E209"/>
      <c r="F209"/>
      <c r="G209"/>
      <c r="I209"/>
      <c r="J209"/>
    </row>
    <row r="210" spans="5:10" x14ac:dyDescent="0.2">
      <c r="E210"/>
      <c r="F210"/>
      <c r="G210"/>
      <c r="I210"/>
      <c r="J210"/>
    </row>
    <row r="211" spans="5:10" x14ac:dyDescent="0.2">
      <c r="E211"/>
      <c r="F211"/>
      <c r="G211"/>
      <c r="I211"/>
      <c r="J211"/>
    </row>
    <row r="212" spans="5:10" x14ac:dyDescent="0.2">
      <c r="E212"/>
      <c r="F212"/>
      <c r="G212"/>
      <c r="I212"/>
      <c r="J212"/>
    </row>
    <row r="213" spans="5:10" x14ac:dyDescent="0.2">
      <c r="E213"/>
      <c r="F213"/>
      <c r="G213"/>
      <c r="I213"/>
      <c r="J213"/>
    </row>
    <row r="214" spans="5:10" x14ac:dyDescent="0.2">
      <c r="E214"/>
      <c r="F214"/>
      <c r="G214"/>
      <c r="I214"/>
      <c r="J214"/>
    </row>
    <row r="215" spans="5:10" x14ac:dyDescent="0.2">
      <c r="E215"/>
      <c r="F215"/>
      <c r="G215"/>
      <c r="I215"/>
      <c r="J215"/>
    </row>
    <row r="216" spans="5:10" x14ac:dyDescent="0.2">
      <c r="E216"/>
      <c r="F216"/>
      <c r="G216"/>
      <c r="I216"/>
      <c r="J216"/>
    </row>
    <row r="217" spans="5:10" x14ac:dyDescent="0.2">
      <c r="E217"/>
      <c r="F217"/>
      <c r="G217"/>
      <c r="I217"/>
      <c r="J217"/>
    </row>
    <row r="218" spans="5:10" x14ac:dyDescent="0.2">
      <c r="E218"/>
      <c r="F218"/>
      <c r="G218"/>
      <c r="I218"/>
      <c r="J218"/>
    </row>
    <row r="219" spans="5:10" x14ac:dyDescent="0.2">
      <c r="E219"/>
      <c r="F219"/>
      <c r="G219"/>
      <c r="I219"/>
      <c r="J219"/>
    </row>
    <row r="220" spans="5:10" x14ac:dyDescent="0.2">
      <c r="E220"/>
      <c r="F220"/>
      <c r="G220"/>
      <c r="I220"/>
      <c r="J220"/>
    </row>
    <row r="221" spans="5:10" x14ac:dyDescent="0.2">
      <c r="E221"/>
      <c r="F221"/>
      <c r="G221"/>
      <c r="I221"/>
      <c r="J221"/>
    </row>
    <row r="222" spans="5:10" x14ac:dyDescent="0.2">
      <c r="E222"/>
      <c r="F222"/>
      <c r="G222"/>
      <c r="I222"/>
      <c r="J222"/>
    </row>
    <row r="223" spans="5:10" x14ac:dyDescent="0.2">
      <c r="E223"/>
      <c r="F223"/>
      <c r="G223"/>
      <c r="I223"/>
      <c r="J223"/>
    </row>
    <row r="224" spans="5:10" x14ac:dyDescent="0.2">
      <c r="E224"/>
      <c r="F224"/>
      <c r="G224"/>
      <c r="I224"/>
      <c r="J224"/>
    </row>
    <row r="225" spans="5:10" x14ac:dyDescent="0.2">
      <c r="E225"/>
      <c r="F225"/>
      <c r="G225"/>
      <c r="I225"/>
      <c r="J225"/>
    </row>
    <row r="226" spans="5:10" x14ac:dyDescent="0.2">
      <c r="E226"/>
      <c r="F226"/>
      <c r="G226"/>
      <c r="I226"/>
      <c r="J226"/>
    </row>
    <row r="227" spans="5:10" x14ac:dyDescent="0.2">
      <c r="E227"/>
      <c r="F227"/>
      <c r="G227"/>
      <c r="I227"/>
      <c r="J227"/>
    </row>
    <row r="228" spans="5:10" x14ac:dyDescent="0.2">
      <c r="E228"/>
      <c r="F228"/>
      <c r="G228"/>
      <c r="I228"/>
      <c r="J228"/>
    </row>
    <row r="229" spans="5:10" x14ac:dyDescent="0.2">
      <c r="E229"/>
      <c r="F229"/>
      <c r="G229"/>
      <c r="I229"/>
      <c r="J229"/>
    </row>
    <row r="230" spans="5:10" x14ac:dyDescent="0.2">
      <c r="E230"/>
      <c r="F230"/>
      <c r="G230"/>
      <c r="I230"/>
      <c r="J230"/>
    </row>
    <row r="231" spans="5:10" x14ac:dyDescent="0.2">
      <c r="E231"/>
      <c r="F231"/>
      <c r="G231"/>
      <c r="I231"/>
      <c r="J231"/>
    </row>
    <row r="232" spans="5:10" x14ac:dyDescent="0.2">
      <c r="E232"/>
      <c r="F232"/>
      <c r="G232"/>
      <c r="I232"/>
      <c r="J232"/>
    </row>
    <row r="233" spans="5:10" x14ac:dyDescent="0.2">
      <c r="E233"/>
      <c r="F233"/>
      <c r="G233"/>
      <c r="I233"/>
      <c r="J233"/>
    </row>
    <row r="234" spans="5:10" x14ac:dyDescent="0.2">
      <c r="E234"/>
      <c r="F234"/>
      <c r="G234"/>
      <c r="I234"/>
      <c r="J234"/>
    </row>
    <row r="235" spans="5:10" x14ac:dyDescent="0.2">
      <c r="E235"/>
      <c r="F235"/>
      <c r="G235"/>
      <c r="I235"/>
      <c r="J235"/>
    </row>
    <row r="236" spans="5:10" x14ac:dyDescent="0.2">
      <c r="E236"/>
      <c r="F236"/>
      <c r="G236"/>
      <c r="I236"/>
      <c r="J236"/>
    </row>
    <row r="237" spans="5:10" x14ac:dyDescent="0.2">
      <c r="E237"/>
      <c r="F237"/>
      <c r="G237"/>
      <c r="I237"/>
      <c r="J237"/>
    </row>
    <row r="238" spans="5:10" x14ac:dyDescent="0.2">
      <c r="E238"/>
      <c r="F238"/>
      <c r="G238"/>
      <c r="I238"/>
      <c r="J238"/>
    </row>
    <row r="239" spans="5:10" x14ac:dyDescent="0.2">
      <c r="E239"/>
      <c r="F239"/>
      <c r="G239"/>
      <c r="I239"/>
      <c r="J239"/>
    </row>
    <row r="240" spans="5:10" x14ac:dyDescent="0.2">
      <c r="E240"/>
      <c r="F240"/>
      <c r="G240"/>
      <c r="I240"/>
      <c r="J240"/>
    </row>
    <row r="241" spans="5:10" x14ac:dyDescent="0.2">
      <c r="E241"/>
      <c r="F241"/>
      <c r="G241"/>
      <c r="I241"/>
      <c r="J241"/>
    </row>
    <row r="242" spans="5:10" x14ac:dyDescent="0.2">
      <c r="E242"/>
      <c r="F242"/>
      <c r="G242"/>
      <c r="I242"/>
      <c r="J242"/>
    </row>
    <row r="243" spans="5:10" x14ac:dyDescent="0.2">
      <c r="E243"/>
      <c r="F243"/>
      <c r="G243"/>
      <c r="I243"/>
      <c r="J243"/>
    </row>
    <row r="244" spans="5:10" x14ac:dyDescent="0.2">
      <c r="E244"/>
      <c r="F244"/>
      <c r="G244"/>
      <c r="I244"/>
      <c r="J244"/>
    </row>
    <row r="245" spans="5:10" x14ac:dyDescent="0.2">
      <c r="E245"/>
      <c r="F245"/>
      <c r="G245"/>
      <c r="I245"/>
      <c r="J245"/>
    </row>
    <row r="246" spans="5:10" x14ac:dyDescent="0.2">
      <c r="E246"/>
      <c r="F246"/>
      <c r="G246"/>
      <c r="I246"/>
      <c r="J246"/>
    </row>
    <row r="247" spans="5:10" x14ac:dyDescent="0.2">
      <c r="E247"/>
      <c r="F247"/>
      <c r="G247"/>
      <c r="I247"/>
      <c r="J247"/>
    </row>
    <row r="248" spans="5:10" x14ac:dyDescent="0.2">
      <c r="E248"/>
      <c r="F248"/>
      <c r="G248"/>
      <c r="I248"/>
      <c r="J248"/>
    </row>
    <row r="249" spans="5:10" x14ac:dyDescent="0.2">
      <c r="E249"/>
      <c r="F249"/>
      <c r="G249"/>
      <c r="I249"/>
      <c r="J249"/>
    </row>
    <row r="250" spans="5:10" x14ac:dyDescent="0.2">
      <c r="E250"/>
      <c r="F250"/>
      <c r="G250"/>
      <c r="I250"/>
      <c r="J250"/>
    </row>
    <row r="251" spans="5:10" x14ac:dyDescent="0.2">
      <c r="E251"/>
      <c r="F251"/>
      <c r="G251"/>
      <c r="I251"/>
      <c r="J251"/>
    </row>
    <row r="252" spans="5:10" x14ac:dyDescent="0.2">
      <c r="E252"/>
      <c r="F252"/>
      <c r="G252"/>
      <c r="I252"/>
      <c r="J252"/>
    </row>
    <row r="253" spans="5:10" x14ac:dyDescent="0.2">
      <c r="E253"/>
      <c r="F253"/>
      <c r="G253"/>
      <c r="I253"/>
      <c r="J253"/>
    </row>
    <row r="254" spans="5:10" x14ac:dyDescent="0.2">
      <c r="E254"/>
      <c r="F254"/>
      <c r="G254"/>
      <c r="I254"/>
      <c r="J254"/>
    </row>
    <row r="255" spans="5:10" x14ac:dyDescent="0.2">
      <c r="E255"/>
      <c r="F255"/>
      <c r="G255"/>
      <c r="I255"/>
      <c r="J255"/>
    </row>
    <row r="256" spans="5:10" x14ac:dyDescent="0.2">
      <c r="E256"/>
      <c r="F256"/>
      <c r="G256"/>
      <c r="I256"/>
      <c r="J256"/>
    </row>
    <row r="257" spans="5:10" x14ac:dyDescent="0.2">
      <c r="E257"/>
      <c r="F257"/>
      <c r="G257"/>
      <c r="I257"/>
      <c r="J257"/>
    </row>
    <row r="258" spans="5:10" x14ac:dyDescent="0.2">
      <c r="E258"/>
      <c r="F258"/>
      <c r="G258"/>
      <c r="I258"/>
      <c r="J258"/>
    </row>
    <row r="259" spans="5:10" x14ac:dyDescent="0.2">
      <c r="E259"/>
      <c r="F259"/>
      <c r="G259"/>
      <c r="I259"/>
      <c r="J259"/>
    </row>
    <row r="260" spans="5:10" x14ac:dyDescent="0.2">
      <c r="E260"/>
      <c r="F260"/>
      <c r="G260"/>
      <c r="I260"/>
      <c r="J260"/>
    </row>
    <row r="261" spans="5:10" x14ac:dyDescent="0.2">
      <c r="E261"/>
      <c r="F261"/>
      <c r="G261"/>
      <c r="I261"/>
      <c r="J261"/>
    </row>
    <row r="262" spans="5:10" x14ac:dyDescent="0.2">
      <c r="E262"/>
      <c r="F262"/>
      <c r="G262"/>
      <c r="I262"/>
      <c r="J262"/>
    </row>
    <row r="263" spans="5:10" x14ac:dyDescent="0.2">
      <c r="E263"/>
      <c r="F263"/>
      <c r="G263"/>
      <c r="I263"/>
      <c r="J263"/>
    </row>
    <row r="264" spans="5:10" x14ac:dyDescent="0.2">
      <c r="E264"/>
      <c r="F264"/>
      <c r="G264"/>
      <c r="I264"/>
      <c r="J264"/>
    </row>
    <row r="265" spans="5:10" x14ac:dyDescent="0.2">
      <c r="E265"/>
      <c r="F265"/>
      <c r="G265"/>
      <c r="I265"/>
      <c r="J265"/>
    </row>
    <row r="266" spans="5:10" x14ac:dyDescent="0.2">
      <c r="E266"/>
      <c r="F266"/>
      <c r="G266"/>
      <c r="I266"/>
      <c r="J266"/>
    </row>
    <row r="267" spans="5:10" x14ac:dyDescent="0.2">
      <c r="E267"/>
      <c r="F267"/>
      <c r="G267"/>
      <c r="I267"/>
      <c r="J267"/>
    </row>
    <row r="268" spans="5:10" x14ac:dyDescent="0.2">
      <c r="E268"/>
      <c r="F268"/>
      <c r="G268"/>
      <c r="I268"/>
      <c r="J268"/>
    </row>
    <row r="269" spans="5:10" x14ac:dyDescent="0.2">
      <c r="E269"/>
      <c r="F269"/>
      <c r="G269"/>
      <c r="I269"/>
      <c r="J269"/>
    </row>
    <row r="270" spans="5:10" x14ac:dyDescent="0.2">
      <c r="E270"/>
      <c r="F270"/>
      <c r="G270"/>
      <c r="I270"/>
      <c r="J270"/>
    </row>
    <row r="271" spans="5:10" x14ac:dyDescent="0.2">
      <c r="E271"/>
      <c r="F271"/>
      <c r="G271"/>
      <c r="I271"/>
      <c r="J271"/>
    </row>
    <row r="272" spans="5:10" x14ac:dyDescent="0.2">
      <c r="E272"/>
      <c r="F272"/>
      <c r="G272"/>
      <c r="I272"/>
      <c r="J272"/>
    </row>
    <row r="273" spans="5:10" x14ac:dyDescent="0.2">
      <c r="E273"/>
      <c r="F273"/>
      <c r="G273"/>
      <c r="I273"/>
      <c r="J273"/>
    </row>
    <row r="274" spans="5:10" x14ac:dyDescent="0.2">
      <c r="E274"/>
      <c r="F274"/>
      <c r="G274"/>
      <c r="I274"/>
      <c r="J274"/>
    </row>
    <row r="275" spans="5:10" x14ac:dyDescent="0.2">
      <c r="E275"/>
      <c r="F275"/>
      <c r="G275"/>
      <c r="I275"/>
      <c r="J275"/>
    </row>
    <row r="276" spans="5:10" x14ac:dyDescent="0.2">
      <c r="E276"/>
      <c r="F276"/>
      <c r="G276"/>
      <c r="I276"/>
      <c r="J276"/>
    </row>
    <row r="277" spans="5:10" x14ac:dyDescent="0.2">
      <c r="E277"/>
      <c r="F277"/>
      <c r="G277"/>
      <c r="I277"/>
      <c r="J277"/>
    </row>
    <row r="278" spans="5:10" x14ac:dyDescent="0.2">
      <c r="E278"/>
      <c r="F278"/>
      <c r="G278"/>
      <c r="I278"/>
      <c r="J278"/>
    </row>
    <row r="279" spans="5:10" x14ac:dyDescent="0.2">
      <c r="E279"/>
      <c r="F279"/>
      <c r="G279"/>
      <c r="I279"/>
      <c r="J279"/>
    </row>
    <row r="280" spans="5:10" x14ac:dyDescent="0.2">
      <c r="E280"/>
      <c r="F280"/>
      <c r="G280"/>
      <c r="I280"/>
      <c r="J280"/>
    </row>
    <row r="281" spans="5:10" x14ac:dyDescent="0.2">
      <c r="E281"/>
      <c r="F281"/>
      <c r="G281"/>
      <c r="I281"/>
      <c r="J281"/>
    </row>
    <row r="282" spans="5:10" x14ac:dyDescent="0.2">
      <c r="E282"/>
      <c r="F282"/>
      <c r="G282"/>
      <c r="I282"/>
      <c r="J282"/>
    </row>
    <row r="283" spans="5:10" x14ac:dyDescent="0.2">
      <c r="E283"/>
      <c r="F283"/>
      <c r="G283"/>
      <c r="I283"/>
      <c r="J283"/>
    </row>
    <row r="284" spans="5:10" x14ac:dyDescent="0.2">
      <c r="E284"/>
      <c r="F284"/>
      <c r="G284"/>
      <c r="I284"/>
      <c r="J284"/>
    </row>
    <row r="285" spans="5:10" x14ac:dyDescent="0.2">
      <c r="E285"/>
      <c r="F285"/>
      <c r="G285"/>
      <c r="I285"/>
      <c r="J285"/>
    </row>
    <row r="286" spans="5:10" x14ac:dyDescent="0.2">
      <c r="E286"/>
      <c r="F286"/>
      <c r="G286"/>
      <c r="I286"/>
      <c r="J286"/>
    </row>
    <row r="287" spans="5:10" x14ac:dyDescent="0.2">
      <c r="E287"/>
      <c r="F287"/>
      <c r="G287"/>
      <c r="I287"/>
      <c r="J287"/>
    </row>
    <row r="288" spans="5:10" x14ac:dyDescent="0.2">
      <c r="E288"/>
      <c r="F288"/>
      <c r="G288"/>
      <c r="I288"/>
      <c r="J288"/>
    </row>
    <row r="289" spans="5:10" x14ac:dyDescent="0.2">
      <c r="E289"/>
      <c r="F289"/>
      <c r="G289"/>
      <c r="I289"/>
      <c r="J289"/>
    </row>
    <row r="290" spans="5:10" x14ac:dyDescent="0.2">
      <c r="E290"/>
      <c r="F290"/>
      <c r="G290"/>
      <c r="I290"/>
      <c r="J290"/>
    </row>
    <row r="291" spans="5:10" x14ac:dyDescent="0.2">
      <c r="E291"/>
      <c r="F291"/>
      <c r="G291"/>
      <c r="I291"/>
      <c r="J291"/>
    </row>
    <row r="292" spans="5:10" x14ac:dyDescent="0.2">
      <c r="E292"/>
      <c r="F292"/>
      <c r="G292"/>
      <c r="I292"/>
      <c r="J292"/>
    </row>
    <row r="293" spans="5:10" x14ac:dyDescent="0.2">
      <c r="E293"/>
      <c r="F293"/>
      <c r="G293"/>
      <c r="I293"/>
      <c r="J293"/>
    </row>
    <row r="294" spans="5:10" x14ac:dyDescent="0.2">
      <c r="E294"/>
      <c r="F294"/>
      <c r="G294"/>
      <c r="I294"/>
      <c r="J294"/>
    </row>
    <row r="295" spans="5:10" x14ac:dyDescent="0.2">
      <c r="E295"/>
      <c r="F295"/>
      <c r="G295"/>
      <c r="I295"/>
      <c r="J295"/>
    </row>
    <row r="296" spans="5:10" x14ac:dyDescent="0.2">
      <c r="E296"/>
      <c r="F296"/>
      <c r="G296"/>
      <c r="I296"/>
      <c r="J296"/>
    </row>
    <row r="297" spans="5:10" x14ac:dyDescent="0.2">
      <c r="E297"/>
      <c r="F297"/>
      <c r="G297"/>
      <c r="I297"/>
      <c r="J297"/>
    </row>
    <row r="298" spans="5:10" x14ac:dyDescent="0.2">
      <c r="E298"/>
      <c r="F298"/>
      <c r="G298"/>
      <c r="I298"/>
      <c r="J298"/>
    </row>
    <row r="299" spans="5:10" x14ac:dyDescent="0.2">
      <c r="E299"/>
      <c r="F299"/>
      <c r="G299"/>
      <c r="I299"/>
      <c r="J299"/>
    </row>
    <row r="300" spans="5:10" x14ac:dyDescent="0.2">
      <c r="E300"/>
      <c r="F300"/>
      <c r="G300"/>
      <c r="I300"/>
      <c r="J300"/>
    </row>
    <row r="301" spans="5:10" x14ac:dyDescent="0.2">
      <c r="E301"/>
      <c r="F301"/>
      <c r="G301"/>
      <c r="I301"/>
      <c r="J301"/>
    </row>
    <row r="302" spans="5:10" x14ac:dyDescent="0.2">
      <c r="E302"/>
      <c r="F302"/>
      <c r="G302"/>
      <c r="I302"/>
      <c r="J302"/>
    </row>
    <row r="303" spans="5:10" x14ac:dyDescent="0.2">
      <c r="E303"/>
      <c r="F303"/>
      <c r="G303"/>
      <c r="I303"/>
      <c r="J303"/>
    </row>
    <row r="304" spans="5:10" x14ac:dyDescent="0.2">
      <c r="E304"/>
      <c r="F304"/>
      <c r="G304"/>
      <c r="I304"/>
      <c r="J304"/>
    </row>
    <row r="305" spans="5:10" x14ac:dyDescent="0.2">
      <c r="E305"/>
      <c r="F305"/>
      <c r="G305"/>
      <c r="I305"/>
      <c r="J305"/>
    </row>
    <row r="306" spans="5:10" x14ac:dyDescent="0.2">
      <c r="E306"/>
      <c r="F306"/>
      <c r="G306"/>
      <c r="I306"/>
      <c r="J306"/>
    </row>
    <row r="307" spans="5:10" x14ac:dyDescent="0.2">
      <c r="E307"/>
      <c r="F307"/>
      <c r="G307"/>
      <c r="I307"/>
      <c r="J307"/>
    </row>
    <row r="308" spans="5:10" x14ac:dyDescent="0.2">
      <c r="E308"/>
      <c r="F308"/>
      <c r="G308"/>
      <c r="I308"/>
      <c r="J308"/>
    </row>
    <row r="309" spans="5:10" x14ac:dyDescent="0.2">
      <c r="E309"/>
      <c r="F309"/>
      <c r="G309"/>
      <c r="I309"/>
      <c r="J309"/>
    </row>
    <row r="310" spans="5:10" x14ac:dyDescent="0.2">
      <c r="E310"/>
      <c r="F310"/>
      <c r="G310"/>
      <c r="I310"/>
      <c r="J310"/>
    </row>
    <row r="311" spans="5:10" x14ac:dyDescent="0.2">
      <c r="E311"/>
      <c r="F311"/>
      <c r="G311"/>
      <c r="I311"/>
      <c r="J311"/>
    </row>
    <row r="312" spans="5:10" x14ac:dyDescent="0.2">
      <c r="E312"/>
      <c r="F312"/>
      <c r="G312"/>
      <c r="I312"/>
      <c r="J312"/>
    </row>
    <row r="313" spans="5:10" x14ac:dyDescent="0.2">
      <c r="E313"/>
      <c r="F313"/>
      <c r="G313"/>
      <c r="I313"/>
      <c r="J313"/>
    </row>
    <row r="314" spans="5:10" x14ac:dyDescent="0.2">
      <c r="E314"/>
      <c r="F314"/>
      <c r="G314"/>
      <c r="I314"/>
      <c r="J314"/>
    </row>
    <row r="315" spans="5:10" x14ac:dyDescent="0.2">
      <c r="E315"/>
      <c r="F315"/>
      <c r="G315"/>
      <c r="I315"/>
      <c r="J315"/>
    </row>
    <row r="316" spans="5:10" x14ac:dyDescent="0.2">
      <c r="E316"/>
      <c r="F316"/>
      <c r="G316"/>
      <c r="I316"/>
      <c r="J316"/>
    </row>
    <row r="317" spans="5:10" x14ac:dyDescent="0.2">
      <c r="E317"/>
      <c r="F317"/>
      <c r="G317"/>
      <c r="I317"/>
      <c r="J317"/>
    </row>
    <row r="318" spans="5:10" x14ac:dyDescent="0.2">
      <c r="E318"/>
      <c r="F318"/>
      <c r="G318"/>
      <c r="I318"/>
      <c r="J318"/>
    </row>
    <row r="319" spans="5:10" x14ac:dyDescent="0.2">
      <c r="E319"/>
      <c r="F319"/>
      <c r="G319"/>
      <c r="I319"/>
      <c r="J319"/>
    </row>
    <row r="320" spans="5:10" x14ac:dyDescent="0.2">
      <c r="E320"/>
      <c r="F320"/>
      <c r="G320"/>
      <c r="I320"/>
      <c r="J320"/>
    </row>
    <row r="321" spans="5:10" x14ac:dyDescent="0.2">
      <c r="E321"/>
      <c r="F321"/>
      <c r="G321"/>
      <c r="I321"/>
      <c r="J321"/>
    </row>
    <row r="322" spans="5:10" x14ac:dyDescent="0.2">
      <c r="E322"/>
      <c r="F322"/>
      <c r="G322"/>
      <c r="I322"/>
      <c r="J322"/>
    </row>
    <row r="323" spans="5:10" x14ac:dyDescent="0.2">
      <c r="E323"/>
      <c r="F323"/>
      <c r="G323"/>
      <c r="I323"/>
      <c r="J323"/>
    </row>
    <row r="324" spans="5:10" x14ac:dyDescent="0.2">
      <c r="E324"/>
      <c r="F324"/>
      <c r="G324"/>
      <c r="I324"/>
      <c r="J324"/>
    </row>
    <row r="325" spans="5:10" x14ac:dyDescent="0.2">
      <c r="E325"/>
      <c r="F325"/>
      <c r="G325"/>
      <c r="I325"/>
      <c r="J325"/>
    </row>
    <row r="326" spans="5:10" x14ac:dyDescent="0.2">
      <c r="E326"/>
      <c r="F326"/>
      <c r="G326"/>
      <c r="I326"/>
      <c r="J326"/>
    </row>
    <row r="327" spans="5:10" x14ac:dyDescent="0.2">
      <c r="E327"/>
      <c r="F327"/>
      <c r="G327"/>
      <c r="I327"/>
      <c r="J327"/>
    </row>
    <row r="328" spans="5:10" x14ac:dyDescent="0.2">
      <c r="E328"/>
      <c r="F328"/>
      <c r="G328"/>
      <c r="I328"/>
      <c r="J328"/>
    </row>
    <row r="329" spans="5:10" x14ac:dyDescent="0.2">
      <c r="E329"/>
      <c r="F329"/>
      <c r="G329"/>
      <c r="I329"/>
      <c r="J329"/>
    </row>
    <row r="330" spans="5:10" x14ac:dyDescent="0.2">
      <c r="E330"/>
      <c r="F330"/>
      <c r="G330"/>
      <c r="I330"/>
      <c r="J330"/>
    </row>
    <row r="331" spans="5:10" x14ac:dyDescent="0.2">
      <c r="E331"/>
      <c r="F331"/>
      <c r="G331"/>
      <c r="I331"/>
      <c r="J331"/>
    </row>
    <row r="332" spans="5:10" x14ac:dyDescent="0.2">
      <c r="E332"/>
      <c r="F332"/>
      <c r="G332"/>
      <c r="I332"/>
      <c r="J332"/>
    </row>
    <row r="333" spans="5:10" x14ac:dyDescent="0.2">
      <c r="E333"/>
      <c r="F333"/>
      <c r="G333"/>
      <c r="I333"/>
      <c r="J333"/>
    </row>
    <row r="334" spans="5:10" x14ac:dyDescent="0.2">
      <c r="E334"/>
      <c r="F334"/>
      <c r="G334"/>
      <c r="I334"/>
      <c r="J334"/>
    </row>
    <row r="335" spans="5:10" x14ac:dyDescent="0.2">
      <c r="E335"/>
      <c r="F335"/>
      <c r="G335"/>
      <c r="I335"/>
      <c r="J335"/>
    </row>
    <row r="336" spans="5:10" x14ac:dyDescent="0.2">
      <c r="E336"/>
      <c r="F336"/>
      <c r="G336"/>
      <c r="I336"/>
      <c r="J336"/>
    </row>
    <row r="337" spans="5:10" x14ac:dyDescent="0.2">
      <c r="E337"/>
      <c r="F337"/>
      <c r="G337"/>
      <c r="I337"/>
      <c r="J337"/>
    </row>
    <row r="338" spans="5:10" x14ac:dyDescent="0.2">
      <c r="E338"/>
      <c r="F338"/>
      <c r="G338"/>
      <c r="I338"/>
      <c r="J338"/>
    </row>
    <row r="339" spans="5:10" x14ac:dyDescent="0.2">
      <c r="E339"/>
      <c r="F339"/>
      <c r="G339"/>
      <c r="I339"/>
      <c r="J339"/>
    </row>
    <row r="340" spans="5:10" x14ac:dyDescent="0.2">
      <c r="E340"/>
      <c r="F340"/>
      <c r="G340"/>
      <c r="I340"/>
      <c r="J340"/>
    </row>
    <row r="341" spans="5:10" x14ac:dyDescent="0.2">
      <c r="E341"/>
      <c r="F341"/>
      <c r="G341"/>
      <c r="I341"/>
      <c r="J341"/>
    </row>
    <row r="342" spans="5:10" x14ac:dyDescent="0.2">
      <c r="E342"/>
      <c r="F342"/>
      <c r="G342"/>
      <c r="I342"/>
      <c r="J342"/>
    </row>
    <row r="343" spans="5:10" x14ac:dyDescent="0.2">
      <c r="E343"/>
      <c r="F343"/>
      <c r="G343"/>
      <c r="I343"/>
      <c r="J343"/>
    </row>
    <row r="344" spans="5:10" x14ac:dyDescent="0.2">
      <c r="E344"/>
      <c r="F344"/>
      <c r="G344"/>
      <c r="I344"/>
      <c r="J344"/>
    </row>
    <row r="345" spans="5:10" x14ac:dyDescent="0.2">
      <c r="E345"/>
      <c r="F345"/>
      <c r="G345"/>
      <c r="I345"/>
      <c r="J345"/>
    </row>
    <row r="346" spans="5:10" x14ac:dyDescent="0.2">
      <c r="E346"/>
      <c r="F346"/>
      <c r="G346"/>
      <c r="I346"/>
      <c r="J346"/>
    </row>
    <row r="347" spans="5:10" x14ac:dyDescent="0.2">
      <c r="E347"/>
      <c r="F347"/>
      <c r="G347"/>
      <c r="I347"/>
      <c r="J347"/>
    </row>
    <row r="348" spans="5:10" x14ac:dyDescent="0.2">
      <c r="E348"/>
      <c r="F348"/>
      <c r="G348"/>
      <c r="I348"/>
      <c r="J348"/>
    </row>
    <row r="349" spans="5:10" x14ac:dyDescent="0.2">
      <c r="E349"/>
      <c r="F349"/>
      <c r="G349"/>
      <c r="I349"/>
      <c r="J349"/>
    </row>
    <row r="350" spans="5:10" x14ac:dyDescent="0.2">
      <c r="E350"/>
      <c r="F350"/>
      <c r="G350"/>
      <c r="I350"/>
      <c r="J350"/>
    </row>
    <row r="351" spans="5:10" x14ac:dyDescent="0.2">
      <c r="E351"/>
      <c r="F351"/>
      <c r="G351"/>
      <c r="I351"/>
      <c r="J351"/>
    </row>
    <row r="352" spans="5:10" x14ac:dyDescent="0.2">
      <c r="E352"/>
      <c r="F352"/>
      <c r="G352"/>
      <c r="I352"/>
      <c r="J352"/>
    </row>
    <row r="353" spans="5:10" x14ac:dyDescent="0.2">
      <c r="E353"/>
      <c r="F353"/>
      <c r="G353"/>
      <c r="I353"/>
      <c r="J353"/>
    </row>
    <row r="354" spans="5:10" x14ac:dyDescent="0.2">
      <c r="E354"/>
      <c r="F354"/>
      <c r="G354"/>
      <c r="I354"/>
      <c r="J354"/>
    </row>
    <row r="355" spans="5:10" x14ac:dyDescent="0.2">
      <c r="E355"/>
      <c r="F355"/>
      <c r="G355"/>
      <c r="I355"/>
      <c r="J355"/>
    </row>
    <row r="356" spans="5:10" x14ac:dyDescent="0.2">
      <c r="E356"/>
      <c r="F356"/>
      <c r="G356"/>
      <c r="I356"/>
      <c r="J356"/>
    </row>
    <row r="357" spans="5:10" x14ac:dyDescent="0.2">
      <c r="E357"/>
      <c r="F357"/>
      <c r="G357"/>
      <c r="I357"/>
      <c r="J357"/>
    </row>
    <row r="358" spans="5:10" x14ac:dyDescent="0.2">
      <c r="E358"/>
      <c r="F358"/>
      <c r="G358"/>
      <c r="I358"/>
      <c r="J358"/>
    </row>
    <row r="359" spans="5:10" x14ac:dyDescent="0.2">
      <c r="E359"/>
      <c r="F359"/>
      <c r="G359"/>
      <c r="I359"/>
      <c r="J359"/>
    </row>
    <row r="360" spans="5:10" x14ac:dyDescent="0.2">
      <c r="E360"/>
      <c r="F360"/>
      <c r="G360"/>
      <c r="I360"/>
      <c r="J360"/>
    </row>
    <row r="361" spans="5:10" x14ac:dyDescent="0.2">
      <c r="E361"/>
      <c r="F361"/>
      <c r="G361"/>
      <c r="I361"/>
      <c r="J361"/>
    </row>
    <row r="362" spans="5:10" x14ac:dyDescent="0.2">
      <c r="E362"/>
      <c r="F362"/>
      <c r="G362"/>
      <c r="I362"/>
      <c r="J362"/>
    </row>
    <row r="363" spans="5:10" x14ac:dyDescent="0.2">
      <c r="E363"/>
      <c r="F363"/>
      <c r="G363"/>
      <c r="I363"/>
      <c r="J363"/>
    </row>
    <row r="364" spans="5:10" x14ac:dyDescent="0.2">
      <c r="E364"/>
      <c r="F364"/>
      <c r="G364"/>
      <c r="I364"/>
      <c r="J364"/>
    </row>
    <row r="365" spans="5:10" x14ac:dyDescent="0.2">
      <c r="E365"/>
      <c r="F365"/>
      <c r="G365"/>
      <c r="I365"/>
      <c r="J365"/>
    </row>
    <row r="366" spans="5:10" x14ac:dyDescent="0.2">
      <c r="E366"/>
      <c r="F366"/>
      <c r="G366"/>
      <c r="I366"/>
      <c r="J366"/>
    </row>
    <row r="367" spans="5:10" x14ac:dyDescent="0.2">
      <c r="E367"/>
      <c r="F367"/>
      <c r="G367"/>
      <c r="I367"/>
      <c r="J367"/>
    </row>
    <row r="368" spans="5:10" x14ac:dyDescent="0.2">
      <c r="E368"/>
      <c r="F368"/>
      <c r="G368"/>
      <c r="I368"/>
      <c r="J368"/>
    </row>
    <row r="369" spans="5:10" x14ac:dyDescent="0.2">
      <c r="E369"/>
      <c r="F369"/>
      <c r="G369"/>
      <c r="I369"/>
      <c r="J369"/>
    </row>
    <row r="370" spans="5:10" x14ac:dyDescent="0.2">
      <c r="E370"/>
      <c r="F370"/>
      <c r="G370"/>
      <c r="I370"/>
      <c r="J370"/>
    </row>
    <row r="371" spans="5:10" x14ac:dyDescent="0.2">
      <c r="E371"/>
      <c r="F371"/>
      <c r="G371"/>
      <c r="I371"/>
      <c r="J371"/>
    </row>
    <row r="372" spans="5:10" x14ac:dyDescent="0.2">
      <c r="E372"/>
      <c r="F372"/>
      <c r="G372"/>
      <c r="I372"/>
      <c r="J372"/>
    </row>
    <row r="373" spans="5:10" x14ac:dyDescent="0.2">
      <c r="E373"/>
      <c r="F373"/>
      <c r="G373"/>
      <c r="I373"/>
      <c r="J373"/>
    </row>
    <row r="374" spans="5:10" x14ac:dyDescent="0.2">
      <c r="E374"/>
      <c r="F374"/>
      <c r="G374"/>
      <c r="I374"/>
      <c r="J374"/>
    </row>
    <row r="375" spans="5:10" x14ac:dyDescent="0.2">
      <c r="E375"/>
      <c r="F375"/>
      <c r="G375"/>
      <c r="I375"/>
      <c r="J375"/>
    </row>
    <row r="376" spans="5:10" x14ac:dyDescent="0.2">
      <c r="E376"/>
      <c r="F376"/>
      <c r="G376"/>
      <c r="I376"/>
      <c r="J376"/>
    </row>
    <row r="377" spans="5:10" x14ac:dyDescent="0.2">
      <c r="E377"/>
      <c r="F377"/>
      <c r="G377"/>
      <c r="I377"/>
      <c r="J377"/>
    </row>
    <row r="378" spans="5:10" x14ac:dyDescent="0.2">
      <c r="E378"/>
      <c r="F378"/>
      <c r="G378"/>
      <c r="I378"/>
      <c r="J378"/>
    </row>
    <row r="379" spans="5:10" x14ac:dyDescent="0.2">
      <c r="E379"/>
      <c r="F379"/>
      <c r="G379"/>
      <c r="I379"/>
      <c r="J379"/>
    </row>
    <row r="380" spans="5:10" x14ac:dyDescent="0.2">
      <c r="E380"/>
      <c r="F380"/>
      <c r="G380"/>
      <c r="I380"/>
      <c r="J380"/>
    </row>
    <row r="381" spans="5:10" x14ac:dyDescent="0.2">
      <c r="E381"/>
      <c r="F381"/>
      <c r="G381"/>
      <c r="I381"/>
      <c r="J381"/>
    </row>
    <row r="382" spans="5:10" x14ac:dyDescent="0.2">
      <c r="E382"/>
      <c r="F382"/>
      <c r="G382"/>
      <c r="I382"/>
      <c r="J382"/>
    </row>
    <row r="383" spans="5:10" x14ac:dyDescent="0.2">
      <c r="E383"/>
      <c r="F383"/>
      <c r="G383"/>
      <c r="I383"/>
      <c r="J383"/>
    </row>
    <row r="384" spans="5:10" x14ac:dyDescent="0.2">
      <c r="E384"/>
      <c r="F384"/>
      <c r="G384"/>
      <c r="I384"/>
      <c r="J384"/>
    </row>
    <row r="385" spans="5:10" x14ac:dyDescent="0.2">
      <c r="E385"/>
      <c r="F385"/>
      <c r="G385"/>
      <c r="I385"/>
      <c r="J385"/>
    </row>
    <row r="386" spans="5:10" x14ac:dyDescent="0.2">
      <c r="E386"/>
      <c r="F386"/>
      <c r="G386"/>
      <c r="I386"/>
      <c r="J386"/>
    </row>
    <row r="387" spans="5:10" x14ac:dyDescent="0.2">
      <c r="E387"/>
      <c r="F387"/>
      <c r="G387"/>
      <c r="I387"/>
      <c r="J387"/>
    </row>
    <row r="388" spans="5:10" x14ac:dyDescent="0.2">
      <c r="E388"/>
      <c r="F388"/>
      <c r="G388"/>
      <c r="I388"/>
      <c r="J388"/>
    </row>
    <row r="389" spans="5:10" x14ac:dyDescent="0.2">
      <c r="E389"/>
      <c r="F389"/>
      <c r="G389"/>
      <c r="I389"/>
      <c r="J389"/>
    </row>
    <row r="390" spans="5:10" x14ac:dyDescent="0.2">
      <c r="E390"/>
      <c r="F390"/>
      <c r="G390"/>
      <c r="I390"/>
      <c r="J390"/>
    </row>
    <row r="391" spans="5:10" x14ac:dyDescent="0.2">
      <c r="E391"/>
      <c r="F391"/>
      <c r="G391"/>
      <c r="I391"/>
      <c r="J391"/>
    </row>
    <row r="392" spans="5:10" x14ac:dyDescent="0.2">
      <c r="E392"/>
      <c r="F392"/>
      <c r="G392"/>
      <c r="I392"/>
      <c r="J392"/>
    </row>
    <row r="393" spans="5:10" x14ac:dyDescent="0.2">
      <c r="E393"/>
      <c r="F393"/>
      <c r="G393"/>
      <c r="I393"/>
      <c r="J393"/>
    </row>
    <row r="394" spans="5:10" x14ac:dyDescent="0.2">
      <c r="E394"/>
      <c r="F394"/>
      <c r="G394"/>
      <c r="I394"/>
      <c r="J394"/>
    </row>
    <row r="395" spans="5:10" x14ac:dyDescent="0.2">
      <c r="E395"/>
      <c r="F395"/>
      <c r="G395"/>
      <c r="I395"/>
      <c r="J395"/>
    </row>
    <row r="396" spans="5:10" x14ac:dyDescent="0.2">
      <c r="E396"/>
      <c r="F396"/>
      <c r="G396"/>
      <c r="I396"/>
      <c r="J396"/>
    </row>
    <row r="397" spans="5:10" x14ac:dyDescent="0.2">
      <c r="E397"/>
      <c r="F397"/>
      <c r="G397"/>
      <c r="I397"/>
      <c r="J397"/>
    </row>
    <row r="398" spans="5:10" x14ac:dyDescent="0.2">
      <c r="E398"/>
      <c r="F398"/>
      <c r="G398"/>
      <c r="I398"/>
      <c r="J398"/>
    </row>
    <row r="399" spans="5:10" x14ac:dyDescent="0.2">
      <c r="E399"/>
      <c r="F399"/>
      <c r="G399"/>
      <c r="I399"/>
      <c r="J399"/>
    </row>
    <row r="400" spans="5:10" x14ac:dyDescent="0.2">
      <c r="E400"/>
      <c r="F400"/>
      <c r="G400"/>
      <c r="I400"/>
      <c r="J400"/>
    </row>
    <row r="401" spans="5:10" x14ac:dyDescent="0.2">
      <c r="E401"/>
      <c r="F401"/>
      <c r="G401"/>
      <c r="I401"/>
      <c r="J401"/>
    </row>
    <row r="402" spans="5:10" x14ac:dyDescent="0.2">
      <c r="E402"/>
      <c r="F402"/>
      <c r="G402"/>
      <c r="I402"/>
      <c r="J402"/>
    </row>
    <row r="403" spans="5:10" x14ac:dyDescent="0.2">
      <c r="E403"/>
      <c r="F403"/>
      <c r="G403"/>
      <c r="I403"/>
      <c r="J403"/>
    </row>
    <row r="404" spans="5:10" x14ac:dyDescent="0.2">
      <c r="E404"/>
      <c r="F404"/>
      <c r="G404"/>
      <c r="I404"/>
      <c r="J404"/>
    </row>
    <row r="405" spans="5:10" x14ac:dyDescent="0.2">
      <c r="E405"/>
      <c r="F405"/>
      <c r="G405"/>
      <c r="I405"/>
      <c r="J405"/>
    </row>
    <row r="406" spans="5:10" x14ac:dyDescent="0.2">
      <c r="E406"/>
      <c r="F406"/>
      <c r="G406"/>
      <c r="I406"/>
      <c r="J406"/>
    </row>
    <row r="407" spans="5:10" x14ac:dyDescent="0.2">
      <c r="E407"/>
      <c r="F407"/>
      <c r="G407"/>
      <c r="I407"/>
      <c r="J407"/>
    </row>
    <row r="408" spans="5:10" x14ac:dyDescent="0.2">
      <c r="E408"/>
      <c r="F408"/>
      <c r="G408"/>
      <c r="I408"/>
      <c r="J408"/>
    </row>
    <row r="409" spans="5:10" x14ac:dyDescent="0.2">
      <c r="E409"/>
      <c r="F409"/>
      <c r="G409"/>
      <c r="I409"/>
      <c r="J409"/>
    </row>
    <row r="410" spans="5:10" x14ac:dyDescent="0.2">
      <c r="E410"/>
      <c r="F410"/>
      <c r="G410"/>
      <c r="I410"/>
      <c r="J410"/>
    </row>
    <row r="411" spans="5:10" x14ac:dyDescent="0.2">
      <c r="E411"/>
      <c r="F411"/>
      <c r="G411"/>
      <c r="I411"/>
      <c r="J411"/>
    </row>
    <row r="412" spans="5:10" x14ac:dyDescent="0.2">
      <c r="E412"/>
      <c r="F412"/>
      <c r="G412"/>
      <c r="I412"/>
      <c r="J412"/>
    </row>
    <row r="413" spans="5:10" x14ac:dyDescent="0.2">
      <c r="E413"/>
      <c r="F413"/>
      <c r="G413"/>
      <c r="I413"/>
      <c r="J413"/>
    </row>
    <row r="414" spans="5:10" x14ac:dyDescent="0.2">
      <c r="E414"/>
      <c r="F414"/>
      <c r="G414"/>
      <c r="I414"/>
      <c r="J414"/>
    </row>
    <row r="415" spans="5:10" x14ac:dyDescent="0.2">
      <c r="E415"/>
      <c r="F415"/>
      <c r="G415"/>
      <c r="I415"/>
      <c r="J415"/>
    </row>
    <row r="416" spans="5:10" x14ac:dyDescent="0.2">
      <c r="E416"/>
      <c r="F416"/>
      <c r="G416"/>
      <c r="I416"/>
      <c r="J416"/>
    </row>
    <row r="417" spans="5:10" x14ac:dyDescent="0.2">
      <c r="E417"/>
      <c r="F417"/>
      <c r="G417"/>
      <c r="I417"/>
      <c r="J417"/>
    </row>
    <row r="418" spans="5:10" x14ac:dyDescent="0.2">
      <c r="E418"/>
      <c r="F418"/>
      <c r="G418"/>
      <c r="I418"/>
      <c r="J418"/>
    </row>
    <row r="419" spans="5:10" x14ac:dyDescent="0.2">
      <c r="E419"/>
      <c r="F419"/>
      <c r="G419"/>
      <c r="I419"/>
      <c r="J419"/>
    </row>
    <row r="420" spans="5:10" x14ac:dyDescent="0.2">
      <c r="E420"/>
      <c r="F420"/>
      <c r="G420"/>
      <c r="I420"/>
      <c r="J420"/>
    </row>
    <row r="421" spans="5:10" x14ac:dyDescent="0.2">
      <c r="E421"/>
      <c r="F421"/>
      <c r="G421"/>
      <c r="I421"/>
      <c r="J421"/>
    </row>
    <row r="422" spans="5:10" x14ac:dyDescent="0.2">
      <c r="E422"/>
      <c r="F422"/>
      <c r="G422"/>
      <c r="I422"/>
      <c r="J422"/>
    </row>
    <row r="423" spans="5:10" x14ac:dyDescent="0.2">
      <c r="E423"/>
      <c r="F423"/>
      <c r="G423"/>
      <c r="I423"/>
      <c r="J423"/>
    </row>
    <row r="424" spans="5:10" x14ac:dyDescent="0.2">
      <c r="E424"/>
      <c r="F424"/>
      <c r="G424"/>
      <c r="I424"/>
      <c r="J424"/>
    </row>
    <row r="425" spans="5:10" x14ac:dyDescent="0.2">
      <c r="E425"/>
      <c r="F425"/>
      <c r="G425"/>
      <c r="I425"/>
      <c r="J425"/>
    </row>
    <row r="426" spans="5:10" x14ac:dyDescent="0.2">
      <c r="E426"/>
      <c r="F426"/>
      <c r="G426"/>
      <c r="I426"/>
      <c r="J426"/>
    </row>
    <row r="427" spans="5:10" x14ac:dyDescent="0.2">
      <c r="E427"/>
      <c r="F427"/>
      <c r="G427"/>
      <c r="I427"/>
      <c r="J427"/>
    </row>
    <row r="428" spans="5:10" x14ac:dyDescent="0.2">
      <c r="E428"/>
      <c r="F428"/>
      <c r="G428"/>
      <c r="I428"/>
      <c r="J428"/>
    </row>
    <row r="429" spans="5:10" x14ac:dyDescent="0.2">
      <c r="E429"/>
      <c r="F429"/>
      <c r="G429"/>
      <c r="I429"/>
      <c r="J429"/>
    </row>
    <row r="430" spans="5:10" x14ac:dyDescent="0.2">
      <c r="E430"/>
      <c r="F430"/>
      <c r="G430"/>
      <c r="I430"/>
      <c r="J430"/>
    </row>
    <row r="431" spans="5:10" x14ac:dyDescent="0.2">
      <c r="E431"/>
      <c r="F431"/>
      <c r="G431"/>
      <c r="I431"/>
      <c r="J431"/>
    </row>
    <row r="432" spans="5:10" x14ac:dyDescent="0.2">
      <c r="E432"/>
      <c r="F432"/>
      <c r="G432"/>
      <c r="I432"/>
      <c r="J432"/>
    </row>
    <row r="433" spans="5:10" x14ac:dyDescent="0.2">
      <c r="E433"/>
      <c r="F433"/>
      <c r="G433"/>
      <c r="I433"/>
      <c r="J433"/>
    </row>
    <row r="434" spans="5:10" x14ac:dyDescent="0.2">
      <c r="E434"/>
      <c r="F434"/>
      <c r="G434"/>
      <c r="I434"/>
      <c r="J434"/>
    </row>
    <row r="435" spans="5:10" x14ac:dyDescent="0.2">
      <c r="E435"/>
      <c r="F435"/>
      <c r="G435"/>
      <c r="I435"/>
      <c r="J435"/>
    </row>
    <row r="436" spans="5:10" x14ac:dyDescent="0.2">
      <c r="E436"/>
      <c r="F436"/>
      <c r="G436"/>
      <c r="I436"/>
      <c r="J436"/>
    </row>
    <row r="437" spans="5:10" x14ac:dyDescent="0.2">
      <c r="E437"/>
      <c r="F437"/>
      <c r="G437"/>
      <c r="I437"/>
      <c r="J437"/>
    </row>
    <row r="438" spans="5:10" x14ac:dyDescent="0.2">
      <c r="E438"/>
      <c r="F438"/>
      <c r="G438"/>
      <c r="I438"/>
      <c r="J438"/>
    </row>
    <row r="439" spans="5:10" x14ac:dyDescent="0.2">
      <c r="E439"/>
      <c r="F439"/>
      <c r="G439"/>
      <c r="I439"/>
      <c r="J439"/>
    </row>
    <row r="440" spans="5:10" x14ac:dyDescent="0.2">
      <c r="E440"/>
      <c r="F440"/>
      <c r="G440"/>
      <c r="I440"/>
      <c r="J440"/>
    </row>
    <row r="441" spans="5:10" x14ac:dyDescent="0.2">
      <c r="E441"/>
      <c r="F441"/>
      <c r="G441"/>
      <c r="I441"/>
      <c r="J441"/>
    </row>
    <row r="442" spans="5:10" x14ac:dyDescent="0.2">
      <c r="E442"/>
      <c r="F442"/>
      <c r="G442"/>
      <c r="I442"/>
      <c r="J442"/>
    </row>
    <row r="443" spans="5:10" x14ac:dyDescent="0.2">
      <c r="E443"/>
      <c r="F443"/>
      <c r="G443"/>
      <c r="I443"/>
      <c r="J443"/>
    </row>
    <row r="444" spans="5:10" x14ac:dyDescent="0.2">
      <c r="E444"/>
      <c r="F444"/>
      <c r="G444"/>
      <c r="I444"/>
      <c r="J444"/>
    </row>
    <row r="445" spans="5:10" x14ac:dyDescent="0.2">
      <c r="E445"/>
      <c r="F445"/>
      <c r="G445"/>
      <c r="I445"/>
      <c r="J445"/>
    </row>
    <row r="446" spans="5:10" x14ac:dyDescent="0.2">
      <c r="E446"/>
      <c r="F446"/>
      <c r="G446"/>
      <c r="I446"/>
      <c r="J446"/>
    </row>
    <row r="447" spans="5:10" x14ac:dyDescent="0.2">
      <c r="E447"/>
      <c r="F447"/>
      <c r="G447"/>
      <c r="I447"/>
      <c r="J447"/>
    </row>
    <row r="448" spans="5:10" x14ac:dyDescent="0.2">
      <c r="E448"/>
      <c r="F448"/>
      <c r="G448"/>
      <c r="I448"/>
      <c r="J448"/>
    </row>
    <row r="449" spans="5:10" x14ac:dyDescent="0.2">
      <c r="E449"/>
      <c r="F449"/>
      <c r="G449"/>
      <c r="I449"/>
      <c r="J449"/>
    </row>
    <row r="450" spans="5:10" x14ac:dyDescent="0.2">
      <c r="E450"/>
      <c r="F450"/>
      <c r="G450"/>
      <c r="I450"/>
      <c r="J450"/>
    </row>
    <row r="451" spans="5:10" x14ac:dyDescent="0.2">
      <c r="E451"/>
      <c r="F451"/>
      <c r="G451"/>
      <c r="I451"/>
      <c r="J451"/>
    </row>
    <row r="452" spans="5:10" x14ac:dyDescent="0.2">
      <c r="E452"/>
      <c r="F452"/>
      <c r="G452"/>
      <c r="I452"/>
      <c r="J452"/>
    </row>
    <row r="453" spans="5:10" x14ac:dyDescent="0.2">
      <c r="E453"/>
      <c r="F453"/>
      <c r="G453"/>
      <c r="I453"/>
      <c r="J453"/>
    </row>
    <row r="454" spans="5:10" x14ac:dyDescent="0.2">
      <c r="E454"/>
      <c r="F454"/>
      <c r="G454"/>
      <c r="I454"/>
      <c r="J454"/>
    </row>
    <row r="455" spans="5:10" x14ac:dyDescent="0.2">
      <c r="E455"/>
      <c r="F455"/>
      <c r="G455"/>
      <c r="I455"/>
      <c r="J455"/>
    </row>
    <row r="456" spans="5:10" x14ac:dyDescent="0.2">
      <c r="E456"/>
      <c r="F456"/>
      <c r="G456"/>
      <c r="I456"/>
      <c r="J456"/>
    </row>
    <row r="457" spans="5:10" x14ac:dyDescent="0.2">
      <c r="E457"/>
      <c r="F457"/>
      <c r="G457"/>
      <c r="I457"/>
      <c r="J457"/>
    </row>
    <row r="458" spans="5:10" x14ac:dyDescent="0.2">
      <c r="E458"/>
      <c r="F458"/>
      <c r="G458"/>
      <c r="I458"/>
      <c r="J458"/>
    </row>
    <row r="459" spans="5:10" x14ac:dyDescent="0.2">
      <c r="E459"/>
      <c r="F459"/>
      <c r="G459"/>
      <c r="I459"/>
      <c r="J459"/>
    </row>
    <row r="460" spans="5:10" x14ac:dyDescent="0.2">
      <c r="E460"/>
      <c r="F460"/>
      <c r="G460"/>
      <c r="I460"/>
      <c r="J460"/>
    </row>
    <row r="461" spans="5:10" x14ac:dyDescent="0.2">
      <c r="E461"/>
      <c r="F461"/>
      <c r="G461"/>
      <c r="I461"/>
      <c r="J461"/>
    </row>
    <row r="462" spans="5:10" x14ac:dyDescent="0.2">
      <c r="E462"/>
      <c r="F462"/>
      <c r="G462"/>
      <c r="I462"/>
      <c r="J462"/>
    </row>
    <row r="463" spans="5:10" x14ac:dyDescent="0.2">
      <c r="E463"/>
      <c r="F463"/>
      <c r="G463"/>
      <c r="I463"/>
      <c r="J463"/>
    </row>
    <row r="464" spans="5:10" x14ac:dyDescent="0.2">
      <c r="E464"/>
      <c r="F464"/>
      <c r="G464"/>
      <c r="I464"/>
      <c r="J464"/>
    </row>
    <row r="465" spans="5:10" x14ac:dyDescent="0.2">
      <c r="E465"/>
      <c r="F465"/>
      <c r="G465"/>
      <c r="I465"/>
      <c r="J465"/>
    </row>
    <row r="466" spans="5:10" x14ac:dyDescent="0.2">
      <c r="E466"/>
      <c r="F466"/>
      <c r="G466"/>
      <c r="I466"/>
      <c r="J466"/>
    </row>
    <row r="467" spans="5:10" x14ac:dyDescent="0.2">
      <c r="E467"/>
      <c r="F467"/>
      <c r="G467"/>
      <c r="I467"/>
      <c r="J467"/>
    </row>
    <row r="468" spans="5:10" x14ac:dyDescent="0.2">
      <c r="E468"/>
      <c r="F468"/>
      <c r="G468"/>
      <c r="I468"/>
      <c r="J468"/>
    </row>
    <row r="469" spans="5:10" x14ac:dyDescent="0.2">
      <c r="E469"/>
      <c r="F469"/>
      <c r="G469"/>
      <c r="I469"/>
      <c r="J469"/>
    </row>
    <row r="470" spans="5:10" x14ac:dyDescent="0.2">
      <c r="E470"/>
      <c r="F470"/>
      <c r="G470"/>
      <c r="I470"/>
      <c r="J470"/>
    </row>
    <row r="471" spans="5:10" x14ac:dyDescent="0.2">
      <c r="E471"/>
      <c r="F471"/>
      <c r="G471"/>
      <c r="I471"/>
      <c r="J471"/>
    </row>
    <row r="472" spans="5:10" x14ac:dyDescent="0.2">
      <c r="E472"/>
      <c r="F472"/>
      <c r="G472"/>
      <c r="I472"/>
      <c r="J472"/>
    </row>
    <row r="473" spans="5:10" x14ac:dyDescent="0.2">
      <c r="E473"/>
      <c r="F473"/>
      <c r="G473"/>
      <c r="I473"/>
      <c r="J473"/>
    </row>
    <row r="474" spans="5:10" x14ac:dyDescent="0.2">
      <c r="E474"/>
      <c r="F474"/>
      <c r="G474"/>
      <c r="I474"/>
      <c r="J474"/>
    </row>
    <row r="475" spans="5:10" x14ac:dyDescent="0.2">
      <c r="E475"/>
      <c r="F475"/>
      <c r="G475"/>
      <c r="I475"/>
      <c r="J475"/>
    </row>
    <row r="476" spans="5:10" x14ac:dyDescent="0.2">
      <c r="E476"/>
      <c r="F476"/>
      <c r="G476"/>
      <c r="I476"/>
      <c r="J476"/>
    </row>
    <row r="477" spans="5:10" x14ac:dyDescent="0.2">
      <c r="E477"/>
      <c r="F477"/>
      <c r="G477"/>
      <c r="I477"/>
      <c r="J477"/>
    </row>
    <row r="478" spans="5:10" x14ac:dyDescent="0.2">
      <c r="E478"/>
      <c r="F478"/>
      <c r="G478"/>
      <c r="I478"/>
      <c r="J478"/>
    </row>
    <row r="479" spans="5:10" x14ac:dyDescent="0.2">
      <c r="E479"/>
      <c r="F479"/>
      <c r="G479"/>
      <c r="I479"/>
      <c r="J479"/>
    </row>
    <row r="480" spans="5:10" x14ac:dyDescent="0.2">
      <c r="E480"/>
      <c r="F480"/>
      <c r="G480"/>
      <c r="I480"/>
      <c r="J480"/>
    </row>
    <row r="481" spans="5:10" x14ac:dyDescent="0.2">
      <c r="E481"/>
      <c r="F481"/>
      <c r="G481"/>
      <c r="I481"/>
      <c r="J481"/>
    </row>
    <row r="482" spans="5:10" x14ac:dyDescent="0.2">
      <c r="E482"/>
      <c r="F482"/>
      <c r="G482"/>
      <c r="I482"/>
      <c r="J482"/>
    </row>
    <row r="483" spans="5:10" x14ac:dyDescent="0.2">
      <c r="E483"/>
      <c r="F483"/>
      <c r="G483"/>
      <c r="I483"/>
      <c r="J483"/>
    </row>
    <row r="484" spans="5:10" x14ac:dyDescent="0.2">
      <c r="E484"/>
      <c r="F484"/>
      <c r="G484"/>
      <c r="I484"/>
      <c r="J484"/>
    </row>
    <row r="485" spans="5:10" x14ac:dyDescent="0.2">
      <c r="E485"/>
      <c r="F485"/>
      <c r="G485"/>
      <c r="I485"/>
      <c r="J485"/>
    </row>
    <row r="486" spans="5:10" x14ac:dyDescent="0.2">
      <c r="E486"/>
      <c r="F486"/>
      <c r="G486"/>
      <c r="I486"/>
      <c r="J486"/>
    </row>
    <row r="487" spans="5:10" x14ac:dyDescent="0.2">
      <c r="E487"/>
      <c r="F487"/>
      <c r="G487"/>
      <c r="I487"/>
      <c r="J487"/>
    </row>
    <row r="488" spans="5:10" x14ac:dyDescent="0.2">
      <c r="E488"/>
      <c r="F488"/>
      <c r="G488"/>
      <c r="I488"/>
      <c r="J488"/>
    </row>
    <row r="489" spans="5:10" x14ac:dyDescent="0.2">
      <c r="E489"/>
      <c r="F489"/>
      <c r="G489"/>
      <c r="I489"/>
      <c r="J489"/>
    </row>
    <row r="490" spans="5:10" x14ac:dyDescent="0.2">
      <c r="E490"/>
      <c r="F490"/>
      <c r="G490"/>
      <c r="I490"/>
      <c r="J490"/>
    </row>
    <row r="491" spans="5:10" x14ac:dyDescent="0.2">
      <c r="E491"/>
      <c r="F491"/>
      <c r="G491"/>
      <c r="I491"/>
      <c r="J491"/>
    </row>
    <row r="492" spans="5:10" x14ac:dyDescent="0.2">
      <c r="E492"/>
      <c r="F492"/>
      <c r="G492"/>
      <c r="I492"/>
      <c r="J492"/>
    </row>
    <row r="493" spans="5:10" x14ac:dyDescent="0.2">
      <c r="E493"/>
      <c r="F493"/>
      <c r="G493"/>
      <c r="I493"/>
      <c r="J493"/>
    </row>
    <row r="494" spans="5:10" x14ac:dyDescent="0.2">
      <c r="E494"/>
      <c r="F494"/>
      <c r="G494"/>
      <c r="I494"/>
      <c r="J494"/>
    </row>
    <row r="495" spans="5:10" x14ac:dyDescent="0.2">
      <c r="E495"/>
      <c r="F495"/>
      <c r="G495"/>
      <c r="I495"/>
      <c r="J495"/>
    </row>
    <row r="496" spans="5:10" x14ac:dyDescent="0.2">
      <c r="E496"/>
      <c r="F496"/>
      <c r="G496"/>
      <c r="I496"/>
      <c r="J496"/>
    </row>
    <row r="497" spans="5:10" x14ac:dyDescent="0.2">
      <c r="E497"/>
      <c r="F497"/>
      <c r="G497"/>
      <c r="I497"/>
      <c r="J497"/>
    </row>
    <row r="498" spans="5:10" x14ac:dyDescent="0.2">
      <c r="E498"/>
      <c r="F498"/>
      <c r="G498"/>
      <c r="I498"/>
      <c r="J498"/>
    </row>
    <row r="499" spans="5:10" x14ac:dyDescent="0.2">
      <c r="E499"/>
      <c r="F499"/>
      <c r="G499"/>
      <c r="I499"/>
      <c r="J499"/>
    </row>
    <row r="500" spans="5:10" x14ac:dyDescent="0.2">
      <c r="E500"/>
      <c r="F500"/>
      <c r="G500"/>
      <c r="I500"/>
      <c r="J500"/>
    </row>
    <row r="501" spans="5:10" x14ac:dyDescent="0.2">
      <c r="E501"/>
      <c r="F501"/>
      <c r="G501"/>
      <c r="I501"/>
      <c r="J501"/>
    </row>
    <row r="502" spans="5:10" x14ac:dyDescent="0.2">
      <c r="E502"/>
      <c r="F502"/>
      <c r="G502"/>
      <c r="I502"/>
      <c r="J502"/>
    </row>
    <row r="503" spans="5:10" x14ac:dyDescent="0.2">
      <c r="E503"/>
      <c r="F503"/>
      <c r="G503"/>
      <c r="I503"/>
      <c r="J503"/>
    </row>
    <row r="504" spans="5:10" x14ac:dyDescent="0.2">
      <c r="E504"/>
      <c r="F504"/>
      <c r="G504"/>
      <c r="I504"/>
      <c r="J504"/>
    </row>
    <row r="505" spans="5:10" x14ac:dyDescent="0.2">
      <c r="E505"/>
      <c r="F505"/>
      <c r="G505"/>
      <c r="I505"/>
      <c r="J505"/>
    </row>
    <row r="506" spans="5:10" x14ac:dyDescent="0.2">
      <c r="E506"/>
      <c r="F506"/>
      <c r="G506"/>
      <c r="I506"/>
      <c r="J506"/>
    </row>
    <row r="507" spans="5:10" x14ac:dyDescent="0.2">
      <c r="E507"/>
      <c r="F507"/>
      <c r="G507"/>
      <c r="I507"/>
      <c r="J507"/>
    </row>
    <row r="508" spans="5:10" x14ac:dyDescent="0.2">
      <c r="E508"/>
      <c r="F508"/>
      <c r="G508"/>
      <c r="I508"/>
      <c r="J508"/>
    </row>
    <row r="509" spans="5:10" x14ac:dyDescent="0.2">
      <c r="E509"/>
      <c r="F509"/>
      <c r="G509"/>
      <c r="I509"/>
      <c r="J509"/>
    </row>
    <row r="510" spans="5:10" x14ac:dyDescent="0.2">
      <c r="E510"/>
      <c r="F510"/>
      <c r="G510"/>
      <c r="I510"/>
      <c r="J510"/>
    </row>
    <row r="511" spans="5:10" x14ac:dyDescent="0.2">
      <c r="E511"/>
      <c r="F511"/>
      <c r="G511"/>
      <c r="I511"/>
      <c r="J511"/>
    </row>
    <row r="512" spans="5:10" x14ac:dyDescent="0.2">
      <c r="E512"/>
      <c r="F512"/>
      <c r="G512"/>
      <c r="I512"/>
      <c r="J512"/>
    </row>
    <row r="513" spans="5:10" x14ac:dyDescent="0.2">
      <c r="E513"/>
      <c r="F513"/>
      <c r="G513"/>
      <c r="I513"/>
      <c r="J513"/>
    </row>
    <row r="514" spans="5:10" x14ac:dyDescent="0.2">
      <c r="E514"/>
      <c r="F514"/>
      <c r="G514"/>
      <c r="I514"/>
      <c r="J514"/>
    </row>
    <row r="515" spans="5:10" x14ac:dyDescent="0.2">
      <c r="E515"/>
      <c r="F515"/>
      <c r="G515"/>
      <c r="I515"/>
      <c r="J515"/>
    </row>
    <row r="516" spans="5:10" x14ac:dyDescent="0.2">
      <c r="E516"/>
      <c r="F516"/>
      <c r="G516"/>
      <c r="I516"/>
      <c r="J516"/>
    </row>
    <row r="517" spans="5:10" x14ac:dyDescent="0.2">
      <c r="E517"/>
      <c r="F517"/>
      <c r="G517"/>
      <c r="I517"/>
      <c r="J517"/>
    </row>
    <row r="518" spans="5:10" x14ac:dyDescent="0.2">
      <c r="E518"/>
      <c r="F518"/>
      <c r="G518"/>
      <c r="I518"/>
      <c r="J518"/>
    </row>
    <row r="519" spans="5:10" x14ac:dyDescent="0.2">
      <c r="E519"/>
      <c r="F519"/>
      <c r="G519"/>
      <c r="I519"/>
      <c r="J519"/>
    </row>
    <row r="520" spans="5:10" x14ac:dyDescent="0.2">
      <c r="E520"/>
      <c r="F520"/>
      <c r="G520"/>
      <c r="I520"/>
      <c r="J520"/>
    </row>
    <row r="521" spans="5:10" x14ac:dyDescent="0.2">
      <c r="E521"/>
      <c r="F521"/>
      <c r="G521"/>
      <c r="I521"/>
      <c r="J521"/>
    </row>
    <row r="522" spans="5:10" x14ac:dyDescent="0.2">
      <c r="E522"/>
      <c r="F522"/>
      <c r="G522"/>
      <c r="I522"/>
      <c r="J522"/>
    </row>
    <row r="523" spans="5:10" x14ac:dyDescent="0.2">
      <c r="E523"/>
      <c r="F523"/>
      <c r="G523"/>
      <c r="I523"/>
      <c r="J523"/>
    </row>
    <row r="524" spans="5:10" x14ac:dyDescent="0.2">
      <c r="E524"/>
      <c r="F524"/>
      <c r="G524"/>
      <c r="I524"/>
      <c r="J524"/>
    </row>
    <row r="525" spans="5:10" x14ac:dyDescent="0.2">
      <c r="E525"/>
      <c r="F525"/>
      <c r="G525"/>
      <c r="I525"/>
      <c r="J525"/>
    </row>
    <row r="526" spans="5:10" x14ac:dyDescent="0.2">
      <c r="E526"/>
      <c r="F526"/>
      <c r="G526"/>
      <c r="I526"/>
      <c r="J526"/>
    </row>
    <row r="527" spans="5:10" x14ac:dyDescent="0.2">
      <c r="E527"/>
      <c r="F527"/>
      <c r="G527"/>
      <c r="I527"/>
      <c r="J527"/>
    </row>
    <row r="528" spans="5:10" x14ac:dyDescent="0.2">
      <c r="E528"/>
      <c r="F528"/>
      <c r="G528"/>
      <c r="I528"/>
      <c r="J528"/>
    </row>
    <row r="529" spans="5:10" x14ac:dyDescent="0.2">
      <c r="E529"/>
      <c r="F529"/>
      <c r="G529"/>
      <c r="I529"/>
      <c r="J529"/>
    </row>
    <row r="530" spans="5:10" x14ac:dyDescent="0.2">
      <c r="E530"/>
      <c r="F530"/>
      <c r="G530"/>
      <c r="I530"/>
      <c r="J530"/>
    </row>
    <row r="531" spans="5:10" x14ac:dyDescent="0.2">
      <c r="E531"/>
      <c r="F531"/>
      <c r="G531"/>
      <c r="I531"/>
      <c r="J531"/>
    </row>
    <row r="532" spans="5:10" x14ac:dyDescent="0.2">
      <c r="E532"/>
      <c r="F532"/>
      <c r="G532"/>
      <c r="I532"/>
      <c r="J532"/>
    </row>
    <row r="533" spans="5:10" x14ac:dyDescent="0.2">
      <c r="E533"/>
      <c r="F533"/>
      <c r="G533"/>
      <c r="I533"/>
      <c r="J533"/>
    </row>
    <row r="534" spans="5:10" x14ac:dyDescent="0.2">
      <c r="E534"/>
      <c r="F534"/>
      <c r="G534"/>
      <c r="I534"/>
      <c r="J534"/>
    </row>
    <row r="535" spans="5:10" x14ac:dyDescent="0.2">
      <c r="E535"/>
      <c r="F535"/>
      <c r="G535"/>
      <c r="I535"/>
      <c r="J535"/>
    </row>
    <row r="536" spans="5:10" x14ac:dyDescent="0.2">
      <c r="E536"/>
      <c r="F536"/>
      <c r="G536"/>
      <c r="I536"/>
      <c r="J536"/>
    </row>
    <row r="537" spans="5:10" x14ac:dyDescent="0.2">
      <c r="E537"/>
      <c r="F537"/>
      <c r="G537"/>
      <c r="I537"/>
      <c r="J537"/>
    </row>
    <row r="538" spans="5:10" x14ac:dyDescent="0.2">
      <c r="E538"/>
      <c r="F538"/>
      <c r="G538"/>
      <c r="I538"/>
      <c r="J538"/>
    </row>
    <row r="539" spans="5:10" x14ac:dyDescent="0.2">
      <c r="E539"/>
      <c r="F539"/>
      <c r="G539"/>
      <c r="I539"/>
      <c r="J539"/>
    </row>
    <row r="540" spans="5:10" x14ac:dyDescent="0.2">
      <c r="E540"/>
      <c r="F540"/>
      <c r="G540"/>
      <c r="I540"/>
      <c r="J540"/>
    </row>
    <row r="541" spans="5:10" x14ac:dyDescent="0.2">
      <c r="E541"/>
      <c r="F541"/>
      <c r="G541"/>
      <c r="I541"/>
      <c r="J541"/>
    </row>
    <row r="542" spans="5:10" x14ac:dyDescent="0.2">
      <c r="E542"/>
      <c r="F542"/>
      <c r="G542"/>
      <c r="I542"/>
      <c r="J542"/>
    </row>
    <row r="543" spans="5:10" x14ac:dyDescent="0.2">
      <c r="E543"/>
      <c r="F543"/>
      <c r="G543"/>
      <c r="I543"/>
      <c r="J543"/>
    </row>
    <row r="544" spans="5:10" x14ac:dyDescent="0.2">
      <c r="E544"/>
      <c r="F544"/>
      <c r="G544"/>
      <c r="I544"/>
      <c r="J544"/>
    </row>
    <row r="545" spans="5:10" x14ac:dyDescent="0.2">
      <c r="E545"/>
      <c r="F545"/>
      <c r="G545"/>
      <c r="I545"/>
      <c r="J545"/>
    </row>
    <row r="546" spans="5:10" x14ac:dyDescent="0.2">
      <c r="E546"/>
      <c r="F546"/>
      <c r="G546"/>
      <c r="I546"/>
      <c r="J546"/>
    </row>
    <row r="547" spans="5:10" x14ac:dyDescent="0.2">
      <c r="E547"/>
      <c r="F547"/>
      <c r="G547"/>
      <c r="I547"/>
      <c r="J547"/>
    </row>
    <row r="548" spans="5:10" x14ac:dyDescent="0.2">
      <c r="E548"/>
      <c r="F548"/>
      <c r="G548"/>
      <c r="I548"/>
      <c r="J548"/>
    </row>
    <row r="549" spans="5:10" x14ac:dyDescent="0.2">
      <c r="E549"/>
      <c r="F549"/>
      <c r="G549"/>
      <c r="I549"/>
      <c r="J549"/>
    </row>
    <row r="550" spans="5:10" x14ac:dyDescent="0.2">
      <c r="E550"/>
      <c r="F550"/>
      <c r="G550"/>
      <c r="I550"/>
      <c r="J550"/>
    </row>
    <row r="551" spans="5:10" x14ac:dyDescent="0.2">
      <c r="E551"/>
      <c r="F551"/>
      <c r="G551"/>
      <c r="I551"/>
      <c r="J551"/>
    </row>
    <row r="552" spans="5:10" x14ac:dyDescent="0.2">
      <c r="E552"/>
      <c r="F552"/>
      <c r="G552"/>
      <c r="I552"/>
      <c r="J552"/>
    </row>
    <row r="553" spans="5:10" x14ac:dyDescent="0.2">
      <c r="E553"/>
      <c r="F553"/>
      <c r="G553"/>
      <c r="I553"/>
      <c r="J553"/>
    </row>
    <row r="554" spans="5:10" x14ac:dyDescent="0.2">
      <c r="E554"/>
      <c r="F554"/>
      <c r="G554"/>
      <c r="I554"/>
      <c r="J554"/>
    </row>
    <row r="555" spans="5:10" x14ac:dyDescent="0.2">
      <c r="E555"/>
      <c r="F555"/>
      <c r="G555"/>
      <c r="I555"/>
      <c r="J555"/>
    </row>
    <row r="556" spans="5:10" x14ac:dyDescent="0.2">
      <c r="E556"/>
      <c r="F556"/>
      <c r="G556"/>
      <c r="I556"/>
      <c r="J556"/>
    </row>
    <row r="557" spans="5:10" x14ac:dyDescent="0.2">
      <c r="E557"/>
      <c r="F557"/>
      <c r="G557"/>
      <c r="I557"/>
      <c r="J557"/>
    </row>
    <row r="558" spans="5:10" x14ac:dyDescent="0.2">
      <c r="E558"/>
      <c r="F558"/>
      <c r="G558"/>
      <c r="I558"/>
      <c r="J558"/>
    </row>
    <row r="559" spans="5:10" x14ac:dyDescent="0.2">
      <c r="E559"/>
      <c r="F559"/>
      <c r="G559"/>
      <c r="I559"/>
      <c r="J559"/>
    </row>
    <row r="560" spans="5:10" x14ac:dyDescent="0.2">
      <c r="E560"/>
      <c r="F560"/>
      <c r="G560"/>
      <c r="I560"/>
      <c r="J560"/>
    </row>
    <row r="561" spans="5:10" x14ac:dyDescent="0.2">
      <c r="E561"/>
      <c r="F561"/>
      <c r="G561"/>
      <c r="I561"/>
      <c r="J561"/>
    </row>
    <row r="562" spans="5:10" x14ac:dyDescent="0.2">
      <c r="E562"/>
      <c r="F562"/>
      <c r="G562"/>
      <c r="I562"/>
      <c r="J562"/>
    </row>
    <row r="563" spans="5:10" x14ac:dyDescent="0.2">
      <c r="E563"/>
      <c r="F563"/>
      <c r="G563"/>
      <c r="I563"/>
      <c r="J563"/>
    </row>
    <row r="564" spans="5:10" x14ac:dyDescent="0.2">
      <c r="E564"/>
      <c r="F564"/>
      <c r="G564"/>
      <c r="I564"/>
      <c r="J564"/>
    </row>
    <row r="565" spans="5:10" x14ac:dyDescent="0.2">
      <c r="E565"/>
      <c r="F565"/>
      <c r="G565"/>
      <c r="I565"/>
      <c r="J565"/>
    </row>
    <row r="566" spans="5:10" x14ac:dyDescent="0.2">
      <c r="E566"/>
      <c r="F566"/>
      <c r="G566"/>
      <c r="I566"/>
      <c r="J566"/>
    </row>
    <row r="567" spans="5:10" x14ac:dyDescent="0.2">
      <c r="E567"/>
      <c r="F567"/>
      <c r="G567"/>
      <c r="I567"/>
      <c r="J567"/>
    </row>
    <row r="568" spans="5:10" x14ac:dyDescent="0.2">
      <c r="E568"/>
      <c r="F568"/>
      <c r="G568"/>
      <c r="I568"/>
      <c r="J568"/>
    </row>
    <row r="569" spans="5:10" x14ac:dyDescent="0.2">
      <c r="E569"/>
      <c r="F569"/>
      <c r="G569"/>
      <c r="I569"/>
      <c r="J569"/>
    </row>
    <row r="570" spans="5:10" x14ac:dyDescent="0.2">
      <c r="E570"/>
      <c r="F570"/>
      <c r="G570"/>
      <c r="I570"/>
      <c r="J570"/>
    </row>
    <row r="571" spans="5:10" x14ac:dyDescent="0.2">
      <c r="E571"/>
      <c r="F571"/>
      <c r="G571"/>
      <c r="I571"/>
      <c r="J571"/>
    </row>
    <row r="572" spans="5:10" x14ac:dyDescent="0.2">
      <c r="E572"/>
      <c r="F572"/>
      <c r="G572"/>
      <c r="I572"/>
      <c r="J572"/>
    </row>
    <row r="573" spans="5:10" x14ac:dyDescent="0.2">
      <c r="E573"/>
      <c r="F573"/>
      <c r="G573"/>
      <c r="I573"/>
      <c r="J573"/>
    </row>
    <row r="574" spans="5:10" x14ac:dyDescent="0.2">
      <c r="E574"/>
      <c r="F574"/>
      <c r="G574"/>
      <c r="I574"/>
      <c r="J574"/>
    </row>
    <row r="575" spans="5:10" x14ac:dyDescent="0.2">
      <c r="E575"/>
      <c r="F575"/>
      <c r="G575"/>
      <c r="I575"/>
      <c r="J575"/>
    </row>
    <row r="576" spans="5:10" x14ac:dyDescent="0.2">
      <c r="E576"/>
      <c r="F576"/>
      <c r="G576"/>
      <c r="I576"/>
      <c r="J576"/>
    </row>
    <row r="577" spans="5:10" x14ac:dyDescent="0.2">
      <c r="E577"/>
      <c r="F577"/>
      <c r="G577"/>
      <c r="I577"/>
      <c r="J577"/>
    </row>
    <row r="578" spans="5:10" x14ac:dyDescent="0.2">
      <c r="E578"/>
      <c r="F578"/>
      <c r="G578"/>
      <c r="I578"/>
      <c r="J578"/>
    </row>
    <row r="579" spans="5:10" x14ac:dyDescent="0.2">
      <c r="E579"/>
      <c r="F579"/>
      <c r="G579"/>
      <c r="I579"/>
      <c r="J579"/>
    </row>
    <row r="580" spans="5:10" x14ac:dyDescent="0.2">
      <c r="E580"/>
      <c r="F580"/>
      <c r="G580"/>
      <c r="I580"/>
      <c r="J580"/>
    </row>
    <row r="581" spans="5:10" x14ac:dyDescent="0.2">
      <c r="E581"/>
      <c r="F581"/>
      <c r="G581"/>
      <c r="I581"/>
      <c r="J581"/>
    </row>
    <row r="582" spans="5:10" x14ac:dyDescent="0.2">
      <c r="E582"/>
      <c r="F582"/>
      <c r="G582"/>
      <c r="I582"/>
      <c r="J582"/>
    </row>
    <row r="583" spans="5:10" x14ac:dyDescent="0.2">
      <c r="E583"/>
      <c r="F583"/>
      <c r="G583"/>
      <c r="I583"/>
      <c r="J583"/>
    </row>
    <row r="584" spans="5:10" x14ac:dyDescent="0.2">
      <c r="E584"/>
      <c r="F584"/>
      <c r="G584"/>
      <c r="I584"/>
      <c r="J584"/>
    </row>
    <row r="585" spans="5:10" x14ac:dyDescent="0.2">
      <c r="E585"/>
      <c r="F585"/>
      <c r="G585"/>
      <c r="I585"/>
      <c r="J585"/>
    </row>
    <row r="586" spans="5:10" x14ac:dyDescent="0.2">
      <c r="E586"/>
      <c r="F586"/>
      <c r="G586"/>
      <c r="I586"/>
      <c r="J586"/>
    </row>
    <row r="587" spans="5:10" x14ac:dyDescent="0.2">
      <c r="E587"/>
      <c r="F587"/>
      <c r="G587"/>
      <c r="I587"/>
      <c r="J587"/>
    </row>
    <row r="588" spans="5:10" x14ac:dyDescent="0.2">
      <c r="E588"/>
      <c r="F588"/>
      <c r="G588"/>
      <c r="I588"/>
      <c r="J588"/>
    </row>
    <row r="589" spans="5:10" x14ac:dyDescent="0.2">
      <c r="E589"/>
      <c r="F589"/>
      <c r="G589"/>
      <c r="I589"/>
      <c r="J589"/>
    </row>
    <row r="590" spans="5:10" x14ac:dyDescent="0.2">
      <c r="E590"/>
      <c r="F590"/>
      <c r="G590"/>
      <c r="I590"/>
      <c r="J590"/>
    </row>
    <row r="591" spans="5:10" x14ac:dyDescent="0.2">
      <c r="E591"/>
      <c r="F591"/>
      <c r="G591"/>
      <c r="I591"/>
      <c r="J591"/>
    </row>
    <row r="592" spans="5:10" x14ac:dyDescent="0.2">
      <c r="E592"/>
      <c r="F592"/>
      <c r="G592"/>
      <c r="I592"/>
      <c r="J592"/>
    </row>
    <row r="593" spans="5:10" x14ac:dyDescent="0.2">
      <c r="E593"/>
      <c r="F593"/>
      <c r="G593"/>
      <c r="I593"/>
      <c r="J593"/>
    </row>
    <row r="594" spans="5:10" x14ac:dyDescent="0.2">
      <c r="E594"/>
      <c r="F594"/>
      <c r="G594"/>
      <c r="I594"/>
      <c r="J594"/>
    </row>
    <row r="595" spans="5:10" x14ac:dyDescent="0.2">
      <c r="E595"/>
      <c r="F595"/>
      <c r="G595"/>
      <c r="I595"/>
      <c r="J595"/>
    </row>
    <row r="596" spans="5:10" x14ac:dyDescent="0.2">
      <c r="E596"/>
      <c r="F596"/>
      <c r="G596"/>
      <c r="I596"/>
      <c r="J596"/>
    </row>
    <row r="597" spans="5:10" x14ac:dyDescent="0.2">
      <c r="E597"/>
      <c r="F597"/>
      <c r="G597"/>
      <c r="I597"/>
      <c r="J597"/>
    </row>
    <row r="598" spans="5:10" x14ac:dyDescent="0.2">
      <c r="E598"/>
      <c r="F598"/>
      <c r="G598"/>
      <c r="I598"/>
      <c r="J598"/>
    </row>
    <row r="599" spans="5:10" x14ac:dyDescent="0.2">
      <c r="E599"/>
      <c r="F599"/>
      <c r="G599"/>
      <c r="I599"/>
      <c r="J599"/>
    </row>
    <row r="600" spans="5:10" x14ac:dyDescent="0.2">
      <c r="E600"/>
      <c r="F600"/>
      <c r="G600"/>
      <c r="I600"/>
      <c r="J600"/>
    </row>
    <row r="601" spans="5:10" x14ac:dyDescent="0.2">
      <c r="E601"/>
      <c r="F601"/>
      <c r="G601"/>
      <c r="I601"/>
      <c r="J601"/>
    </row>
    <row r="602" spans="5:10" x14ac:dyDescent="0.2">
      <c r="E602"/>
      <c r="F602"/>
      <c r="G602"/>
      <c r="I602"/>
      <c r="J602"/>
    </row>
    <row r="603" spans="5:10" x14ac:dyDescent="0.2">
      <c r="E603"/>
      <c r="F603"/>
      <c r="G603"/>
      <c r="I603"/>
      <c r="J603"/>
    </row>
    <row r="604" spans="5:10" x14ac:dyDescent="0.2">
      <c r="E604"/>
      <c r="F604"/>
      <c r="G604"/>
      <c r="I604"/>
      <c r="J604"/>
    </row>
    <row r="605" spans="5:10" x14ac:dyDescent="0.2">
      <c r="E605"/>
      <c r="F605"/>
      <c r="G605"/>
      <c r="I605"/>
      <c r="J605"/>
    </row>
    <row r="606" spans="5:10" x14ac:dyDescent="0.2">
      <c r="E606"/>
      <c r="F606"/>
      <c r="G606"/>
      <c r="I606"/>
      <c r="J606"/>
    </row>
    <row r="607" spans="5:10" x14ac:dyDescent="0.2">
      <c r="E607"/>
      <c r="F607"/>
      <c r="G607"/>
      <c r="I607"/>
      <c r="J607"/>
    </row>
    <row r="608" spans="5:10" x14ac:dyDescent="0.2">
      <c r="E608"/>
      <c r="F608"/>
      <c r="G608"/>
      <c r="I608"/>
      <c r="J608"/>
    </row>
    <row r="609" spans="5:10" x14ac:dyDescent="0.2">
      <c r="E609"/>
      <c r="F609"/>
      <c r="G609"/>
      <c r="I609"/>
      <c r="J609"/>
    </row>
    <row r="610" spans="5:10" x14ac:dyDescent="0.2">
      <c r="E610"/>
      <c r="F610"/>
      <c r="G610"/>
      <c r="I610"/>
      <c r="J610"/>
    </row>
    <row r="611" spans="5:10" x14ac:dyDescent="0.2">
      <c r="E611"/>
      <c r="F611"/>
      <c r="G611"/>
      <c r="I611"/>
      <c r="J611"/>
    </row>
    <row r="612" spans="5:10" x14ac:dyDescent="0.2">
      <c r="E612"/>
      <c r="F612"/>
      <c r="G612"/>
      <c r="I612"/>
      <c r="J612"/>
    </row>
    <row r="613" spans="5:10" x14ac:dyDescent="0.2">
      <c r="E613"/>
      <c r="F613"/>
      <c r="G613"/>
      <c r="I613"/>
      <c r="J613"/>
    </row>
    <row r="614" spans="5:10" x14ac:dyDescent="0.2">
      <c r="E614"/>
      <c r="F614"/>
      <c r="G614"/>
      <c r="I614"/>
      <c r="J614"/>
    </row>
    <row r="615" spans="5:10" x14ac:dyDescent="0.2">
      <c r="E615"/>
      <c r="F615"/>
      <c r="G615"/>
      <c r="I615"/>
      <c r="J615"/>
    </row>
    <row r="616" spans="5:10" x14ac:dyDescent="0.2">
      <c r="E616"/>
      <c r="F616"/>
      <c r="G616"/>
      <c r="I616"/>
      <c r="J616"/>
    </row>
    <row r="617" spans="5:10" x14ac:dyDescent="0.2">
      <c r="E617"/>
      <c r="F617"/>
      <c r="G617"/>
      <c r="I617"/>
      <c r="J617"/>
    </row>
    <row r="618" spans="5:10" x14ac:dyDescent="0.2">
      <c r="E618"/>
      <c r="F618"/>
      <c r="G618"/>
      <c r="I618"/>
      <c r="J618"/>
    </row>
    <row r="619" spans="5:10" x14ac:dyDescent="0.2">
      <c r="E619"/>
      <c r="F619"/>
      <c r="G619"/>
      <c r="I619"/>
      <c r="J619"/>
    </row>
    <row r="620" spans="5:10" x14ac:dyDescent="0.2">
      <c r="E620"/>
      <c r="F620"/>
      <c r="G620"/>
      <c r="I620"/>
      <c r="J620"/>
    </row>
    <row r="621" spans="5:10" x14ac:dyDescent="0.2">
      <c r="E621"/>
      <c r="F621"/>
      <c r="G621"/>
      <c r="I621"/>
      <c r="J621"/>
    </row>
    <row r="622" spans="5:10" x14ac:dyDescent="0.2">
      <c r="E622"/>
      <c r="F622"/>
      <c r="G622"/>
      <c r="I622"/>
      <c r="J622"/>
    </row>
    <row r="623" spans="5:10" x14ac:dyDescent="0.2">
      <c r="E623"/>
      <c r="F623"/>
      <c r="G623"/>
      <c r="I623"/>
      <c r="J623"/>
    </row>
    <row r="624" spans="5:10" x14ac:dyDescent="0.2">
      <c r="E624"/>
      <c r="F624"/>
      <c r="G624"/>
      <c r="I624"/>
      <c r="J624"/>
    </row>
    <row r="625" spans="5:10" x14ac:dyDescent="0.2">
      <c r="E625"/>
      <c r="F625"/>
      <c r="G625"/>
      <c r="I625"/>
      <c r="J625"/>
    </row>
    <row r="626" spans="5:10" x14ac:dyDescent="0.2">
      <c r="E626"/>
      <c r="F626"/>
      <c r="G626"/>
      <c r="I626"/>
      <c r="J626"/>
    </row>
    <row r="627" spans="5:10" x14ac:dyDescent="0.2">
      <c r="E627"/>
      <c r="F627"/>
      <c r="G627"/>
      <c r="I627"/>
      <c r="J627"/>
    </row>
    <row r="628" spans="5:10" x14ac:dyDescent="0.2">
      <c r="E628"/>
      <c r="F628"/>
      <c r="G628"/>
      <c r="I628"/>
      <c r="J628"/>
    </row>
    <row r="629" spans="5:10" x14ac:dyDescent="0.2">
      <c r="E629"/>
      <c r="F629"/>
      <c r="G629"/>
      <c r="I629"/>
      <c r="J629"/>
    </row>
    <row r="630" spans="5:10" x14ac:dyDescent="0.2">
      <c r="E630"/>
      <c r="F630"/>
      <c r="G630"/>
      <c r="I630"/>
      <c r="J630"/>
    </row>
    <row r="631" spans="5:10" x14ac:dyDescent="0.2">
      <c r="E631"/>
      <c r="F631"/>
      <c r="G631"/>
      <c r="I631"/>
      <c r="J631"/>
    </row>
    <row r="632" spans="5:10" x14ac:dyDescent="0.2">
      <c r="E632"/>
      <c r="F632"/>
      <c r="G632"/>
      <c r="I632"/>
      <c r="J632"/>
    </row>
    <row r="633" spans="5:10" x14ac:dyDescent="0.2">
      <c r="E633"/>
      <c r="F633"/>
      <c r="G633"/>
      <c r="I633"/>
      <c r="J633"/>
    </row>
    <row r="634" spans="5:10" x14ac:dyDescent="0.2">
      <c r="E634"/>
      <c r="F634"/>
      <c r="G634"/>
      <c r="I634"/>
      <c r="J634"/>
    </row>
    <row r="635" spans="5:10" x14ac:dyDescent="0.2">
      <c r="E635"/>
      <c r="F635"/>
      <c r="G635"/>
      <c r="I635"/>
      <c r="J635"/>
    </row>
    <row r="636" spans="5:10" x14ac:dyDescent="0.2">
      <c r="E636"/>
      <c r="F636"/>
      <c r="G636"/>
      <c r="I636"/>
      <c r="J636"/>
    </row>
    <row r="637" spans="5:10" x14ac:dyDescent="0.2">
      <c r="E637"/>
      <c r="F637"/>
      <c r="G637"/>
      <c r="I637"/>
      <c r="J637"/>
    </row>
    <row r="638" spans="5:10" x14ac:dyDescent="0.2">
      <c r="E638"/>
      <c r="F638"/>
      <c r="G638"/>
      <c r="I638"/>
      <c r="J638"/>
    </row>
    <row r="639" spans="5:10" x14ac:dyDescent="0.2">
      <c r="E639"/>
      <c r="F639"/>
      <c r="G639"/>
      <c r="I639"/>
      <c r="J639"/>
    </row>
    <row r="640" spans="5:10" x14ac:dyDescent="0.2">
      <c r="E640"/>
      <c r="F640"/>
      <c r="G640"/>
      <c r="I640"/>
      <c r="J640"/>
    </row>
    <row r="641" spans="5:10" x14ac:dyDescent="0.2">
      <c r="E641"/>
      <c r="F641"/>
      <c r="G641"/>
      <c r="I641"/>
      <c r="J641"/>
    </row>
    <row r="642" spans="5:10" x14ac:dyDescent="0.2">
      <c r="E642"/>
      <c r="F642"/>
      <c r="G642"/>
      <c r="I642"/>
      <c r="J642"/>
    </row>
    <row r="643" spans="5:10" x14ac:dyDescent="0.2">
      <c r="E643"/>
      <c r="F643"/>
      <c r="G643"/>
      <c r="I643"/>
      <c r="J643"/>
    </row>
    <row r="644" spans="5:10" x14ac:dyDescent="0.2">
      <c r="E644"/>
      <c r="F644"/>
      <c r="G644"/>
      <c r="I644"/>
      <c r="J644"/>
    </row>
    <row r="645" spans="5:10" x14ac:dyDescent="0.2">
      <c r="E645"/>
      <c r="F645"/>
      <c r="G645"/>
      <c r="I645"/>
      <c r="J645"/>
    </row>
    <row r="646" spans="5:10" x14ac:dyDescent="0.2">
      <c r="E646"/>
      <c r="F646"/>
      <c r="G646"/>
      <c r="I646"/>
      <c r="J646"/>
    </row>
    <row r="647" spans="5:10" x14ac:dyDescent="0.2">
      <c r="E647"/>
      <c r="F647"/>
      <c r="G647"/>
      <c r="I647"/>
      <c r="J647"/>
    </row>
    <row r="648" spans="5:10" x14ac:dyDescent="0.2">
      <c r="E648"/>
      <c r="F648"/>
      <c r="G648"/>
      <c r="I648"/>
      <c r="J648"/>
    </row>
    <row r="649" spans="5:10" x14ac:dyDescent="0.2">
      <c r="E649"/>
      <c r="F649"/>
      <c r="G649"/>
      <c r="I649"/>
      <c r="J649"/>
    </row>
    <row r="650" spans="5:10" x14ac:dyDescent="0.2">
      <c r="E650"/>
      <c r="F650"/>
      <c r="G650"/>
      <c r="I650"/>
      <c r="J650"/>
    </row>
    <row r="651" spans="5:10" x14ac:dyDescent="0.2">
      <c r="E651"/>
      <c r="F651"/>
      <c r="G651"/>
      <c r="I651"/>
      <c r="J651"/>
    </row>
    <row r="652" spans="5:10" x14ac:dyDescent="0.2">
      <c r="E652"/>
      <c r="F652"/>
      <c r="G652"/>
      <c r="I652"/>
      <c r="J652"/>
    </row>
    <row r="653" spans="5:10" x14ac:dyDescent="0.2">
      <c r="E653"/>
      <c r="F653"/>
      <c r="G653"/>
      <c r="I653"/>
      <c r="J653"/>
    </row>
    <row r="654" spans="5:10" x14ac:dyDescent="0.2">
      <c r="E654"/>
      <c r="F654"/>
      <c r="G654"/>
      <c r="I654"/>
      <c r="J654"/>
    </row>
    <row r="655" spans="5:10" x14ac:dyDescent="0.2">
      <c r="E655"/>
      <c r="F655"/>
      <c r="G655"/>
      <c r="I655"/>
      <c r="J655"/>
    </row>
    <row r="656" spans="5:10" x14ac:dyDescent="0.2">
      <c r="E656"/>
      <c r="F656"/>
      <c r="G656"/>
      <c r="I656"/>
      <c r="J656"/>
    </row>
    <row r="657" spans="5:10" x14ac:dyDescent="0.2">
      <c r="E657"/>
      <c r="F657"/>
      <c r="G657"/>
      <c r="I657"/>
      <c r="J657"/>
    </row>
    <row r="658" spans="5:10" x14ac:dyDescent="0.2">
      <c r="E658"/>
      <c r="F658"/>
      <c r="G658"/>
      <c r="I658"/>
      <c r="J658"/>
    </row>
    <row r="659" spans="5:10" x14ac:dyDescent="0.2">
      <c r="E659"/>
      <c r="F659"/>
      <c r="G659"/>
      <c r="I659"/>
      <c r="J659"/>
    </row>
    <row r="660" spans="5:10" x14ac:dyDescent="0.2">
      <c r="E660"/>
      <c r="F660"/>
      <c r="G660"/>
      <c r="I660"/>
      <c r="J660"/>
    </row>
    <row r="661" spans="5:10" x14ac:dyDescent="0.2">
      <c r="E661"/>
      <c r="F661"/>
      <c r="G661"/>
      <c r="I661"/>
      <c r="J661"/>
    </row>
    <row r="662" spans="5:10" x14ac:dyDescent="0.2">
      <c r="E662"/>
      <c r="F662"/>
      <c r="G662"/>
      <c r="I662"/>
      <c r="J662"/>
    </row>
    <row r="663" spans="5:10" x14ac:dyDescent="0.2">
      <c r="E663"/>
      <c r="F663"/>
      <c r="G663"/>
      <c r="I663"/>
      <c r="J663"/>
    </row>
    <row r="664" spans="5:10" x14ac:dyDescent="0.2">
      <c r="E664"/>
      <c r="F664"/>
      <c r="G664"/>
      <c r="I664"/>
      <c r="J664"/>
    </row>
    <row r="665" spans="5:10" x14ac:dyDescent="0.2">
      <c r="E665"/>
      <c r="F665"/>
      <c r="G665"/>
      <c r="I665"/>
      <c r="J665"/>
    </row>
    <row r="666" spans="5:10" x14ac:dyDescent="0.2">
      <c r="E666"/>
      <c r="F666"/>
      <c r="G666"/>
      <c r="I666"/>
      <c r="J666"/>
    </row>
    <row r="667" spans="5:10" x14ac:dyDescent="0.2">
      <c r="E667"/>
      <c r="F667"/>
      <c r="G667"/>
      <c r="I667"/>
      <c r="J667"/>
    </row>
    <row r="668" spans="5:10" x14ac:dyDescent="0.2">
      <c r="E668"/>
      <c r="F668"/>
      <c r="G668"/>
      <c r="I668"/>
      <c r="J668"/>
    </row>
    <row r="669" spans="5:10" x14ac:dyDescent="0.2">
      <c r="E669"/>
      <c r="F669"/>
      <c r="G669"/>
      <c r="I669"/>
      <c r="J669"/>
    </row>
    <row r="670" spans="5:10" x14ac:dyDescent="0.2">
      <c r="E670"/>
      <c r="F670"/>
      <c r="G670"/>
      <c r="I670"/>
      <c r="J670"/>
    </row>
    <row r="671" spans="5:10" x14ac:dyDescent="0.2">
      <c r="E671"/>
      <c r="F671"/>
      <c r="G671"/>
      <c r="I671"/>
      <c r="J671"/>
    </row>
    <row r="672" spans="5:10" x14ac:dyDescent="0.2">
      <c r="E672"/>
      <c r="F672"/>
      <c r="G672"/>
      <c r="I672"/>
      <c r="J672"/>
    </row>
    <row r="673" spans="5:10" x14ac:dyDescent="0.2">
      <c r="E673"/>
      <c r="F673"/>
      <c r="G673"/>
      <c r="I673"/>
      <c r="J673"/>
    </row>
    <row r="674" spans="5:10" x14ac:dyDescent="0.2">
      <c r="E674"/>
      <c r="F674"/>
      <c r="G674"/>
      <c r="I674"/>
      <c r="J674"/>
    </row>
    <row r="675" spans="5:10" x14ac:dyDescent="0.2">
      <c r="E675"/>
      <c r="F675"/>
      <c r="G675"/>
      <c r="I675"/>
      <c r="J675"/>
    </row>
    <row r="676" spans="5:10" x14ac:dyDescent="0.2">
      <c r="E676"/>
      <c r="F676"/>
      <c r="G676"/>
      <c r="I676"/>
      <c r="J676"/>
    </row>
    <row r="677" spans="5:10" x14ac:dyDescent="0.2">
      <c r="E677"/>
      <c r="F677"/>
      <c r="G677"/>
      <c r="I677"/>
      <c r="J677"/>
    </row>
    <row r="678" spans="5:10" x14ac:dyDescent="0.2">
      <c r="E678"/>
      <c r="F678"/>
      <c r="G678"/>
      <c r="I678"/>
      <c r="J678"/>
    </row>
    <row r="679" spans="5:10" x14ac:dyDescent="0.2">
      <c r="E679"/>
      <c r="F679"/>
      <c r="G679"/>
      <c r="I679"/>
      <c r="J679"/>
    </row>
    <row r="680" spans="5:10" x14ac:dyDescent="0.2">
      <c r="E680"/>
      <c r="F680"/>
      <c r="G680"/>
      <c r="I680"/>
      <c r="J680"/>
    </row>
    <row r="681" spans="5:10" x14ac:dyDescent="0.2">
      <c r="E681"/>
      <c r="F681"/>
      <c r="G681"/>
      <c r="I681"/>
      <c r="J681"/>
    </row>
    <row r="682" spans="5:10" x14ac:dyDescent="0.2">
      <c r="E682"/>
      <c r="F682"/>
      <c r="G682"/>
      <c r="I682"/>
      <c r="J682"/>
    </row>
    <row r="683" spans="5:10" x14ac:dyDescent="0.2">
      <c r="E683"/>
      <c r="F683"/>
      <c r="G683"/>
      <c r="I683"/>
      <c r="J683"/>
    </row>
    <row r="684" spans="5:10" x14ac:dyDescent="0.2">
      <c r="E684"/>
      <c r="F684"/>
      <c r="G684"/>
      <c r="I684"/>
      <c r="J684"/>
    </row>
    <row r="685" spans="5:10" x14ac:dyDescent="0.2">
      <c r="E685"/>
      <c r="F685"/>
      <c r="G685"/>
      <c r="I685"/>
      <c r="J685"/>
    </row>
    <row r="686" spans="5:10" x14ac:dyDescent="0.2">
      <c r="E686"/>
      <c r="F686"/>
      <c r="G686"/>
      <c r="I686"/>
      <c r="J686"/>
    </row>
    <row r="687" spans="5:10" x14ac:dyDescent="0.2">
      <c r="E687"/>
      <c r="F687"/>
      <c r="G687"/>
      <c r="I687"/>
      <c r="J687"/>
    </row>
    <row r="688" spans="5:10" x14ac:dyDescent="0.2">
      <c r="E688"/>
      <c r="F688"/>
      <c r="G688"/>
      <c r="I688"/>
      <c r="J688"/>
    </row>
    <row r="689" spans="5:10" x14ac:dyDescent="0.2">
      <c r="E689"/>
      <c r="F689"/>
      <c r="G689"/>
      <c r="I689"/>
      <c r="J689"/>
    </row>
    <row r="690" spans="5:10" x14ac:dyDescent="0.2">
      <c r="E690"/>
      <c r="F690"/>
      <c r="G690"/>
      <c r="I690"/>
      <c r="J690"/>
    </row>
    <row r="691" spans="5:10" x14ac:dyDescent="0.2">
      <c r="E691"/>
      <c r="F691"/>
      <c r="G691"/>
      <c r="I691"/>
      <c r="J691"/>
    </row>
    <row r="692" spans="5:10" x14ac:dyDescent="0.2">
      <c r="E692"/>
      <c r="F692"/>
      <c r="G692"/>
      <c r="I692"/>
      <c r="J692"/>
    </row>
    <row r="693" spans="5:10" x14ac:dyDescent="0.2">
      <c r="E693"/>
      <c r="F693"/>
      <c r="G693"/>
      <c r="I693"/>
      <c r="J693"/>
    </row>
    <row r="694" spans="5:10" x14ac:dyDescent="0.2">
      <c r="E694"/>
      <c r="F694"/>
      <c r="G694"/>
      <c r="I694"/>
      <c r="J694"/>
    </row>
    <row r="695" spans="5:10" x14ac:dyDescent="0.2">
      <c r="E695"/>
      <c r="F695"/>
      <c r="G695"/>
      <c r="I695"/>
      <c r="J695"/>
    </row>
    <row r="696" spans="5:10" x14ac:dyDescent="0.2">
      <c r="E696"/>
      <c r="F696"/>
      <c r="G696"/>
      <c r="I696"/>
      <c r="J696"/>
    </row>
    <row r="697" spans="5:10" x14ac:dyDescent="0.2">
      <c r="E697"/>
      <c r="F697"/>
      <c r="G697"/>
      <c r="I697"/>
      <c r="J697"/>
    </row>
    <row r="698" spans="5:10" x14ac:dyDescent="0.2">
      <c r="E698"/>
      <c r="F698"/>
      <c r="G698"/>
      <c r="I698"/>
      <c r="J698"/>
    </row>
    <row r="699" spans="5:10" x14ac:dyDescent="0.2">
      <c r="E699"/>
      <c r="F699"/>
      <c r="G699"/>
      <c r="I699"/>
      <c r="J699"/>
    </row>
    <row r="700" spans="5:10" x14ac:dyDescent="0.2">
      <c r="E700"/>
      <c r="F700"/>
      <c r="G700"/>
      <c r="I700"/>
      <c r="J700"/>
    </row>
    <row r="701" spans="5:10" x14ac:dyDescent="0.2">
      <c r="E701"/>
      <c r="F701"/>
      <c r="G701"/>
      <c r="I701"/>
      <c r="J701"/>
    </row>
    <row r="702" spans="5:10" x14ac:dyDescent="0.2">
      <c r="E702"/>
      <c r="F702"/>
      <c r="G702"/>
      <c r="I702"/>
      <c r="J702"/>
    </row>
    <row r="703" spans="5:10" x14ac:dyDescent="0.2">
      <c r="E703"/>
      <c r="F703"/>
      <c r="G703"/>
      <c r="I703"/>
      <c r="J703"/>
    </row>
    <row r="704" spans="5:10" x14ac:dyDescent="0.2">
      <c r="E704"/>
      <c r="F704"/>
      <c r="G704"/>
      <c r="I704"/>
      <c r="J704"/>
    </row>
    <row r="705" spans="5:10" x14ac:dyDescent="0.2">
      <c r="E705"/>
      <c r="F705"/>
      <c r="G705"/>
      <c r="I705"/>
      <c r="J705"/>
    </row>
    <row r="706" spans="5:10" x14ac:dyDescent="0.2">
      <c r="E706"/>
      <c r="F706"/>
      <c r="G706"/>
      <c r="I706"/>
      <c r="J706"/>
    </row>
    <row r="707" spans="5:10" x14ac:dyDescent="0.2">
      <c r="E707"/>
      <c r="F707"/>
      <c r="G707"/>
      <c r="I707"/>
      <c r="J707"/>
    </row>
    <row r="708" spans="5:10" x14ac:dyDescent="0.2">
      <c r="E708"/>
      <c r="F708"/>
      <c r="G708"/>
      <c r="I708"/>
      <c r="J708"/>
    </row>
    <row r="709" spans="5:10" x14ac:dyDescent="0.2">
      <c r="E709"/>
      <c r="F709"/>
      <c r="G709"/>
      <c r="I709"/>
      <c r="J709"/>
    </row>
    <row r="710" spans="5:10" x14ac:dyDescent="0.2">
      <c r="E710"/>
      <c r="F710"/>
      <c r="G710"/>
      <c r="I710"/>
      <c r="J710"/>
    </row>
    <row r="711" spans="5:10" x14ac:dyDescent="0.2">
      <c r="E711"/>
      <c r="F711"/>
      <c r="G711"/>
      <c r="I711"/>
      <c r="J711"/>
    </row>
    <row r="712" spans="5:10" x14ac:dyDescent="0.2">
      <c r="E712"/>
      <c r="F712"/>
      <c r="G712"/>
      <c r="I712"/>
      <c r="J712"/>
    </row>
    <row r="713" spans="5:10" x14ac:dyDescent="0.2">
      <c r="E713"/>
      <c r="F713"/>
      <c r="G713"/>
      <c r="I713"/>
      <c r="J713"/>
    </row>
    <row r="714" spans="5:10" x14ac:dyDescent="0.2">
      <c r="E714"/>
      <c r="F714"/>
      <c r="G714"/>
      <c r="I714"/>
      <c r="J714"/>
    </row>
    <row r="715" spans="5:10" x14ac:dyDescent="0.2">
      <c r="E715"/>
      <c r="F715"/>
      <c r="G715"/>
      <c r="I715"/>
      <c r="J715"/>
    </row>
    <row r="716" spans="5:10" x14ac:dyDescent="0.2">
      <c r="E716"/>
      <c r="F716"/>
      <c r="G716"/>
      <c r="I716"/>
      <c r="J716"/>
    </row>
    <row r="717" spans="5:10" x14ac:dyDescent="0.2">
      <c r="E717"/>
      <c r="F717"/>
      <c r="G717"/>
      <c r="I717"/>
      <c r="J717"/>
    </row>
    <row r="718" spans="5:10" x14ac:dyDescent="0.2">
      <c r="E718"/>
      <c r="F718"/>
      <c r="G718"/>
      <c r="I718"/>
      <c r="J718"/>
    </row>
    <row r="719" spans="5:10" x14ac:dyDescent="0.2">
      <c r="E719"/>
      <c r="F719"/>
      <c r="G719"/>
      <c r="I719"/>
      <c r="J719"/>
    </row>
    <row r="720" spans="5:10" x14ac:dyDescent="0.2">
      <c r="E720"/>
      <c r="F720"/>
      <c r="G720"/>
      <c r="I720"/>
      <c r="J720"/>
    </row>
    <row r="721" spans="5:10" x14ac:dyDescent="0.2">
      <c r="E721"/>
      <c r="F721"/>
      <c r="G721"/>
      <c r="I721"/>
      <c r="J721"/>
    </row>
    <row r="722" spans="5:10" x14ac:dyDescent="0.2">
      <c r="E722"/>
      <c r="F722"/>
      <c r="G722"/>
      <c r="I722"/>
      <c r="J722"/>
    </row>
    <row r="723" spans="5:10" x14ac:dyDescent="0.2">
      <c r="E723"/>
      <c r="F723"/>
      <c r="G723"/>
      <c r="I723"/>
      <c r="J723"/>
    </row>
    <row r="724" spans="5:10" x14ac:dyDescent="0.2">
      <c r="E724"/>
      <c r="F724"/>
      <c r="G724"/>
      <c r="I724"/>
      <c r="J724"/>
    </row>
    <row r="725" spans="5:10" x14ac:dyDescent="0.2">
      <c r="E725"/>
      <c r="F725"/>
      <c r="G725"/>
      <c r="I725"/>
      <c r="J725"/>
    </row>
    <row r="726" spans="5:10" x14ac:dyDescent="0.2">
      <c r="E726"/>
      <c r="F726"/>
      <c r="G726"/>
      <c r="I726"/>
      <c r="J726"/>
    </row>
    <row r="727" spans="5:10" x14ac:dyDescent="0.2">
      <c r="E727"/>
      <c r="F727"/>
      <c r="G727"/>
      <c r="I727"/>
      <c r="J727"/>
    </row>
    <row r="728" spans="5:10" x14ac:dyDescent="0.2">
      <c r="E728"/>
      <c r="F728"/>
      <c r="G728"/>
      <c r="I728"/>
      <c r="J728"/>
    </row>
    <row r="729" spans="5:10" x14ac:dyDescent="0.2">
      <c r="E729"/>
      <c r="F729"/>
      <c r="G729"/>
      <c r="I729"/>
      <c r="J729"/>
    </row>
    <row r="730" spans="5:10" x14ac:dyDescent="0.2">
      <c r="E730"/>
      <c r="F730"/>
      <c r="G730"/>
      <c r="I730"/>
      <c r="J730"/>
    </row>
    <row r="731" spans="5:10" x14ac:dyDescent="0.2">
      <c r="E731"/>
      <c r="F731"/>
      <c r="G731"/>
      <c r="I731"/>
      <c r="J731"/>
    </row>
    <row r="732" spans="5:10" x14ac:dyDescent="0.2">
      <c r="E732"/>
      <c r="F732"/>
      <c r="G732"/>
      <c r="I732"/>
      <c r="J732"/>
    </row>
    <row r="733" spans="5:10" x14ac:dyDescent="0.2">
      <c r="E733"/>
      <c r="F733"/>
      <c r="G733"/>
      <c r="I733"/>
      <c r="J733"/>
    </row>
    <row r="734" spans="5:10" x14ac:dyDescent="0.2">
      <c r="E734"/>
      <c r="F734"/>
      <c r="G734"/>
      <c r="I734"/>
      <c r="J734"/>
    </row>
    <row r="735" spans="5:10" x14ac:dyDescent="0.2">
      <c r="E735"/>
      <c r="F735"/>
      <c r="G735"/>
      <c r="I735"/>
      <c r="J735"/>
    </row>
    <row r="736" spans="5:10" x14ac:dyDescent="0.2">
      <c r="E736"/>
      <c r="F736"/>
      <c r="G736"/>
      <c r="I736"/>
      <c r="J736"/>
    </row>
    <row r="737" spans="5:10" x14ac:dyDescent="0.2">
      <c r="E737"/>
      <c r="F737"/>
      <c r="G737"/>
      <c r="I737"/>
      <c r="J737"/>
    </row>
    <row r="738" spans="5:10" x14ac:dyDescent="0.2">
      <c r="E738"/>
      <c r="F738"/>
      <c r="G738"/>
      <c r="I738"/>
      <c r="J738"/>
    </row>
    <row r="739" spans="5:10" x14ac:dyDescent="0.2">
      <c r="E739"/>
      <c r="F739"/>
      <c r="G739"/>
      <c r="I739"/>
      <c r="J739"/>
    </row>
    <row r="740" spans="5:10" x14ac:dyDescent="0.2">
      <c r="E740"/>
      <c r="F740"/>
      <c r="G740"/>
      <c r="I740"/>
      <c r="J740"/>
    </row>
    <row r="741" spans="5:10" x14ac:dyDescent="0.2">
      <c r="E741"/>
      <c r="F741"/>
      <c r="G741"/>
      <c r="I741"/>
      <c r="J741"/>
    </row>
    <row r="742" spans="5:10" x14ac:dyDescent="0.2">
      <c r="E742"/>
      <c r="F742"/>
      <c r="G742"/>
      <c r="I742"/>
      <c r="J742"/>
    </row>
    <row r="743" spans="5:10" x14ac:dyDescent="0.2">
      <c r="E743"/>
      <c r="F743"/>
      <c r="G743"/>
      <c r="I743"/>
      <c r="J743"/>
    </row>
    <row r="744" spans="5:10" x14ac:dyDescent="0.2">
      <c r="E744"/>
      <c r="F744"/>
      <c r="G744"/>
      <c r="I744"/>
      <c r="J744"/>
    </row>
    <row r="745" spans="5:10" x14ac:dyDescent="0.2">
      <c r="E745"/>
      <c r="F745"/>
      <c r="G745"/>
      <c r="I745"/>
      <c r="J745"/>
    </row>
    <row r="746" spans="5:10" x14ac:dyDescent="0.2">
      <c r="E746"/>
      <c r="F746"/>
      <c r="G746"/>
      <c r="I746"/>
      <c r="J746"/>
    </row>
    <row r="747" spans="5:10" x14ac:dyDescent="0.2">
      <c r="E747"/>
      <c r="F747"/>
      <c r="G747"/>
      <c r="I747"/>
      <c r="J747"/>
    </row>
    <row r="748" spans="5:10" x14ac:dyDescent="0.2">
      <c r="E748"/>
      <c r="F748"/>
      <c r="G748"/>
      <c r="I748"/>
      <c r="J748"/>
    </row>
    <row r="749" spans="5:10" x14ac:dyDescent="0.2">
      <c r="E749"/>
      <c r="F749"/>
      <c r="G749"/>
      <c r="I749"/>
      <c r="J749"/>
    </row>
    <row r="750" spans="5:10" x14ac:dyDescent="0.2">
      <c r="E750"/>
      <c r="F750"/>
      <c r="G750"/>
      <c r="I750"/>
      <c r="J750"/>
    </row>
    <row r="751" spans="5:10" x14ac:dyDescent="0.2">
      <c r="E751"/>
      <c r="F751"/>
      <c r="G751"/>
      <c r="I751"/>
      <c r="J751"/>
    </row>
    <row r="752" spans="5:10" x14ac:dyDescent="0.2">
      <c r="E752"/>
      <c r="F752"/>
      <c r="G752"/>
      <c r="I752"/>
      <c r="J752"/>
    </row>
    <row r="753" spans="5:10" x14ac:dyDescent="0.2">
      <c r="E753"/>
      <c r="F753"/>
      <c r="G753"/>
      <c r="I753"/>
      <c r="J753"/>
    </row>
    <row r="754" spans="5:10" x14ac:dyDescent="0.2">
      <c r="E754"/>
      <c r="F754"/>
      <c r="G754"/>
      <c r="I754"/>
      <c r="J754"/>
    </row>
    <row r="755" spans="5:10" x14ac:dyDescent="0.2">
      <c r="E755"/>
      <c r="F755"/>
      <c r="G755"/>
      <c r="I755"/>
      <c r="J755"/>
    </row>
    <row r="756" spans="5:10" x14ac:dyDescent="0.2">
      <c r="E756"/>
      <c r="F756"/>
      <c r="G756"/>
      <c r="I756"/>
      <c r="J756"/>
    </row>
    <row r="757" spans="5:10" x14ac:dyDescent="0.2">
      <c r="E757"/>
      <c r="F757"/>
      <c r="G757"/>
      <c r="I757"/>
      <c r="J757"/>
    </row>
    <row r="758" spans="5:10" x14ac:dyDescent="0.2">
      <c r="E758"/>
      <c r="F758"/>
      <c r="G758"/>
      <c r="I758"/>
      <c r="J758"/>
    </row>
    <row r="759" spans="5:10" x14ac:dyDescent="0.2">
      <c r="E759"/>
      <c r="F759"/>
      <c r="G759"/>
      <c r="I759"/>
      <c r="J759"/>
    </row>
    <row r="760" spans="5:10" x14ac:dyDescent="0.2">
      <c r="E760"/>
      <c r="F760"/>
      <c r="G760"/>
      <c r="I760"/>
      <c r="J760"/>
    </row>
    <row r="761" spans="5:10" x14ac:dyDescent="0.2">
      <c r="E761"/>
      <c r="F761"/>
      <c r="G761"/>
      <c r="I761"/>
      <c r="J761"/>
    </row>
    <row r="762" spans="5:10" x14ac:dyDescent="0.2">
      <c r="E762"/>
      <c r="F762"/>
      <c r="G762"/>
      <c r="I762"/>
      <c r="J762"/>
    </row>
    <row r="763" spans="5:10" x14ac:dyDescent="0.2">
      <c r="E763"/>
      <c r="F763"/>
      <c r="G763"/>
      <c r="I763"/>
      <c r="J763"/>
    </row>
    <row r="764" spans="5:10" x14ac:dyDescent="0.2">
      <c r="E764"/>
      <c r="F764"/>
      <c r="G764"/>
      <c r="I764"/>
      <c r="J764"/>
    </row>
    <row r="765" spans="5:10" x14ac:dyDescent="0.2">
      <c r="E765"/>
      <c r="F765"/>
      <c r="G765"/>
      <c r="I765"/>
      <c r="J765"/>
    </row>
    <row r="766" spans="5:10" x14ac:dyDescent="0.2">
      <c r="E766"/>
      <c r="F766"/>
      <c r="G766"/>
      <c r="I766"/>
      <c r="J766"/>
    </row>
    <row r="767" spans="5:10" x14ac:dyDescent="0.2">
      <c r="E767"/>
      <c r="F767"/>
      <c r="G767"/>
      <c r="I767"/>
      <c r="J767"/>
    </row>
    <row r="768" spans="5:10" x14ac:dyDescent="0.2">
      <c r="E768"/>
      <c r="F768"/>
      <c r="G768"/>
      <c r="I768"/>
      <c r="J768"/>
    </row>
    <row r="769" spans="5:10" x14ac:dyDescent="0.2">
      <c r="E769"/>
      <c r="F769"/>
      <c r="G769"/>
      <c r="I769"/>
      <c r="J769"/>
    </row>
    <row r="770" spans="5:10" x14ac:dyDescent="0.2">
      <c r="E770"/>
      <c r="F770"/>
      <c r="G770"/>
      <c r="I770"/>
      <c r="J770"/>
    </row>
    <row r="771" spans="5:10" x14ac:dyDescent="0.2">
      <c r="E771"/>
      <c r="F771"/>
      <c r="G771"/>
      <c r="I771"/>
      <c r="J771"/>
    </row>
    <row r="772" spans="5:10" x14ac:dyDescent="0.2">
      <c r="E772"/>
      <c r="F772"/>
      <c r="G772"/>
      <c r="I772"/>
      <c r="J772"/>
    </row>
    <row r="773" spans="5:10" x14ac:dyDescent="0.2">
      <c r="E773"/>
      <c r="F773"/>
      <c r="G773"/>
      <c r="I773"/>
      <c r="J773"/>
    </row>
    <row r="774" spans="5:10" x14ac:dyDescent="0.2">
      <c r="E774"/>
      <c r="F774"/>
      <c r="G774"/>
      <c r="I774"/>
      <c r="J774"/>
    </row>
    <row r="775" spans="5:10" x14ac:dyDescent="0.2">
      <c r="E775"/>
      <c r="F775"/>
      <c r="G775"/>
      <c r="I775"/>
      <c r="J775"/>
    </row>
    <row r="776" spans="5:10" x14ac:dyDescent="0.2">
      <c r="E776"/>
      <c r="F776"/>
      <c r="G776"/>
      <c r="I776"/>
      <c r="J776"/>
    </row>
    <row r="777" spans="5:10" x14ac:dyDescent="0.2">
      <c r="E777"/>
      <c r="F777"/>
      <c r="G777"/>
      <c r="I777"/>
      <c r="J777"/>
    </row>
    <row r="778" spans="5:10" x14ac:dyDescent="0.2">
      <c r="E778"/>
      <c r="F778"/>
      <c r="G778"/>
      <c r="I778"/>
      <c r="J778"/>
    </row>
    <row r="779" spans="5:10" x14ac:dyDescent="0.2">
      <c r="E779"/>
      <c r="F779"/>
      <c r="G779"/>
      <c r="I779"/>
      <c r="J779"/>
    </row>
    <row r="780" spans="5:10" x14ac:dyDescent="0.2">
      <c r="E780"/>
      <c r="F780"/>
      <c r="G780"/>
      <c r="I780"/>
      <c r="J780"/>
    </row>
    <row r="781" spans="5:10" x14ac:dyDescent="0.2">
      <c r="E781"/>
      <c r="F781"/>
      <c r="G781"/>
      <c r="I781"/>
      <c r="J781"/>
    </row>
    <row r="782" spans="5:10" x14ac:dyDescent="0.2">
      <c r="E782"/>
      <c r="F782"/>
      <c r="G782"/>
      <c r="I782"/>
      <c r="J782"/>
    </row>
    <row r="783" spans="5:10" x14ac:dyDescent="0.2">
      <c r="E783"/>
      <c r="F783"/>
      <c r="G783"/>
      <c r="I783"/>
      <c r="J783"/>
    </row>
    <row r="784" spans="5:10" x14ac:dyDescent="0.2">
      <c r="E784"/>
      <c r="F784"/>
      <c r="G784"/>
      <c r="I784"/>
      <c r="J784"/>
    </row>
    <row r="785" spans="5:10" x14ac:dyDescent="0.2">
      <c r="E785"/>
      <c r="F785"/>
      <c r="G785"/>
      <c r="I785"/>
      <c r="J785"/>
    </row>
    <row r="786" spans="5:10" x14ac:dyDescent="0.2">
      <c r="E786"/>
      <c r="F786"/>
      <c r="G786"/>
      <c r="I786"/>
      <c r="J786"/>
    </row>
    <row r="787" spans="5:10" x14ac:dyDescent="0.2">
      <c r="E787"/>
      <c r="F787"/>
      <c r="G787"/>
      <c r="I787"/>
      <c r="J787"/>
    </row>
    <row r="788" spans="5:10" x14ac:dyDescent="0.2">
      <c r="E788"/>
      <c r="F788"/>
      <c r="G788"/>
      <c r="I788"/>
      <c r="J788"/>
    </row>
    <row r="789" spans="5:10" x14ac:dyDescent="0.2">
      <c r="E789"/>
      <c r="F789"/>
      <c r="G789"/>
      <c r="I789"/>
      <c r="J789"/>
    </row>
    <row r="790" spans="5:10" x14ac:dyDescent="0.2">
      <c r="E790"/>
      <c r="F790"/>
      <c r="G790"/>
      <c r="I790"/>
      <c r="J790"/>
    </row>
    <row r="791" spans="5:10" x14ac:dyDescent="0.2">
      <c r="E791"/>
      <c r="F791"/>
      <c r="G791"/>
      <c r="I791"/>
      <c r="J791"/>
    </row>
    <row r="792" spans="5:10" x14ac:dyDescent="0.2">
      <c r="E792"/>
      <c r="F792"/>
      <c r="G792"/>
      <c r="I792"/>
      <c r="J792"/>
    </row>
    <row r="793" spans="5:10" x14ac:dyDescent="0.2">
      <c r="E793"/>
      <c r="F793"/>
      <c r="G793"/>
      <c r="I793"/>
      <c r="J793"/>
    </row>
    <row r="794" spans="5:10" x14ac:dyDescent="0.2">
      <c r="E794"/>
      <c r="F794"/>
      <c r="G794"/>
      <c r="I794"/>
      <c r="J794"/>
    </row>
    <row r="795" spans="5:10" x14ac:dyDescent="0.2">
      <c r="E795"/>
      <c r="F795"/>
      <c r="G795"/>
      <c r="I795"/>
      <c r="J795"/>
    </row>
    <row r="796" spans="5:10" x14ac:dyDescent="0.2">
      <c r="E796"/>
      <c r="F796"/>
      <c r="G796"/>
      <c r="I796"/>
      <c r="J796"/>
    </row>
    <row r="797" spans="5:10" x14ac:dyDescent="0.2">
      <c r="E797"/>
      <c r="F797"/>
      <c r="G797"/>
      <c r="I797"/>
      <c r="J797"/>
    </row>
    <row r="798" spans="5:10" x14ac:dyDescent="0.2">
      <c r="E798"/>
      <c r="F798"/>
      <c r="G798"/>
      <c r="I798"/>
      <c r="J798"/>
    </row>
    <row r="799" spans="5:10" x14ac:dyDescent="0.2">
      <c r="E799"/>
      <c r="F799"/>
      <c r="G799"/>
      <c r="I799"/>
      <c r="J799"/>
    </row>
    <row r="800" spans="5:10" x14ac:dyDescent="0.2">
      <c r="E800"/>
      <c r="F800"/>
      <c r="G800"/>
      <c r="I800"/>
      <c r="J800"/>
    </row>
    <row r="801" spans="5:10" x14ac:dyDescent="0.2">
      <c r="E801"/>
      <c r="F801"/>
      <c r="G801"/>
      <c r="I801"/>
      <c r="J801"/>
    </row>
    <row r="802" spans="5:10" x14ac:dyDescent="0.2">
      <c r="E802"/>
      <c r="F802"/>
      <c r="G802"/>
      <c r="I802"/>
      <c r="J802"/>
    </row>
    <row r="803" spans="5:10" x14ac:dyDescent="0.2">
      <c r="E803"/>
      <c r="F803"/>
      <c r="G803"/>
      <c r="I803"/>
      <c r="J803"/>
    </row>
    <row r="804" spans="5:10" x14ac:dyDescent="0.2">
      <c r="E804"/>
      <c r="F804"/>
      <c r="G804"/>
      <c r="I804"/>
      <c r="J804"/>
    </row>
    <row r="805" spans="5:10" x14ac:dyDescent="0.2">
      <c r="E805"/>
      <c r="F805"/>
      <c r="G805"/>
      <c r="I805"/>
      <c r="J805"/>
    </row>
    <row r="806" spans="5:10" x14ac:dyDescent="0.2">
      <c r="E806"/>
      <c r="F806"/>
      <c r="G806"/>
      <c r="I806"/>
      <c r="J806"/>
    </row>
    <row r="807" spans="5:10" x14ac:dyDescent="0.2">
      <c r="E807"/>
      <c r="F807"/>
      <c r="G807"/>
      <c r="I807"/>
      <c r="J807"/>
    </row>
    <row r="808" spans="5:10" x14ac:dyDescent="0.2">
      <c r="E808"/>
      <c r="F808"/>
      <c r="G808"/>
      <c r="I808"/>
      <c r="J808"/>
    </row>
    <row r="809" spans="5:10" x14ac:dyDescent="0.2">
      <c r="E809"/>
      <c r="F809"/>
      <c r="G809"/>
      <c r="I809"/>
      <c r="J809"/>
    </row>
    <row r="810" spans="5:10" x14ac:dyDescent="0.2">
      <c r="E810"/>
      <c r="F810"/>
      <c r="G810"/>
      <c r="I810"/>
      <c r="J810"/>
    </row>
    <row r="811" spans="5:10" x14ac:dyDescent="0.2">
      <c r="E811"/>
      <c r="F811"/>
      <c r="G811"/>
      <c r="I811"/>
      <c r="J811"/>
    </row>
    <row r="812" spans="5:10" x14ac:dyDescent="0.2">
      <c r="E812"/>
      <c r="F812"/>
      <c r="G812"/>
      <c r="I812"/>
      <c r="J812"/>
    </row>
    <row r="813" spans="5:10" x14ac:dyDescent="0.2">
      <c r="E813"/>
      <c r="F813"/>
      <c r="G813"/>
      <c r="I813"/>
      <c r="J813"/>
    </row>
    <row r="814" spans="5:10" x14ac:dyDescent="0.2">
      <c r="E814"/>
      <c r="F814"/>
      <c r="G814"/>
      <c r="I814"/>
      <c r="J814"/>
    </row>
    <row r="815" spans="5:10" x14ac:dyDescent="0.2">
      <c r="E815"/>
      <c r="F815"/>
      <c r="G815"/>
      <c r="I815"/>
      <c r="J815"/>
    </row>
    <row r="816" spans="5:10" x14ac:dyDescent="0.2">
      <c r="E816"/>
      <c r="F816"/>
      <c r="G816"/>
      <c r="I816"/>
      <c r="J816"/>
    </row>
    <row r="817" spans="5:10" x14ac:dyDescent="0.2">
      <c r="E817"/>
      <c r="F817"/>
      <c r="G817"/>
      <c r="I817"/>
      <c r="J817"/>
    </row>
    <row r="818" spans="5:10" x14ac:dyDescent="0.2">
      <c r="E818"/>
      <c r="F818"/>
      <c r="G818"/>
      <c r="I818"/>
      <c r="J818"/>
    </row>
    <row r="819" spans="5:10" x14ac:dyDescent="0.2">
      <c r="E819"/>
      <c r="F819"/>
      <c r="G819"/>
      <c r="I819"/>
      <c r="J819"/>
    </row>
    <row r="820" spans="5:10" x14ac:dyDescent="0.2">
      <c r="E820"/>
      <c r="F820"/>
      <c r="G820"/>
      <c r="I820"/>
      <c r="J820"/>
    </row>
    <row r="821" spans="5:10" x14ac:dyDescent="0.2">
      <c r="E821"/>
      <c r="F821"/>
      <c r="G821"/>
      <c r="I821"/>
      <c r="J821"/>
    </row>
    <row r="822" spans="5:10" x14ac:dyDescent="0.2">
      <c r="E822"/>
      <c r="F822"/>
      <c r="G822"/>
      <c r="I822"/>
      <c r="J822"/>
    </row>
    <row r="823" spans="5:10" x14ac:dyDescent="0.2">
      <c r="E823"/>
      <c r="F823"/>
      <c r="G823"/>
      <c r="I823"/>
      <c r="J823"/>
    </row>
    <row r="824" spans="5:10" x14ac:dyDescent="0.2">
      <c r="E824"/>
      <c r="F824"/>
      <c r="G824"/>
      <c r="I824"/>
      <c r="J824"/>
    </row>
    <row r="825" spans="5:10" x14ac:dyDescent="0.2">
      <c r="E825"/>
      <c r="F825"/>
      <c r="G825"/>
      <c r="I825"/>
      <c r="J825"/>
    </row>
    <row r="826" spans="5:10" x14ac:dyDescent="0.2">
      <c r="E826"/>
      <c r="F826"/>
      <c r="G826"/>
      <c r="I826"/>
      <c r="J826"/>
    </row>
    <row r="827" spans="5:10" x14ac:dyDescent="0.2">
      <c r="E827"/>
      <c r="F827"/>
      <c r="G827"/>
      <c r="I827"/>
      <c r="J827"/>
    </row>
    <row r="828" spans="5:10" x14ac:dyDescent="0.2">
      <c r="E828"/>
      <c r="F828"/>
      <c r="G828"/>
      <c r="I828"/>
      <c r="J828"/>
    </row>
    <row r="829" spans="5:10" x14ac:dyDescent="0.2">
      <c r="E829"/>
      <c r="F829"/>
      <c r="G829"/>
      <c r="I829"/>
      <c r="J829"/>
    </row>
    <row r="830" spans="5:10" x14ac:dyDescent="0.2">
      <c r="E830"/>
      <c r="F830"/>
      <c r="G830"/>
      <c r="I830"/>
      <c r="J830"/>
    </row>
    <row r="831" spans="5:10" x14ac:dyDescent="0.2">
      <c r="E831"/>
      <c r="F831"/>
      <c r="G831"/>
      <c r="I831"/>
      <c r="J831"/>
    </row>
    <row r="832" spans="5:10" x14ac:dyDescent="0.2">
      <c r="E832"/>
      <c r="F832"/>
      <c r="G832"/>
      <c r="I832"/>
      <c r="J832"/>
    </row>
    <row r="833" spans="5:10" x14ac:dyDescent="0.2">
      <c r="E833"/>
      <c r="F833"/>
      <c r="G833"/>
      <c r="I833"/>
      <c r="J833"/>
    </row>
    <row r="834" spans="5:10" x14ac:dyDescent="0.2">
      <c r="E834"/>
      <c r="F834"/>
      <c r="G834"/>
      <c r="I834"/>
      <c r="J834"/>
    </row>
    <row r="835" spans="5:10" x14ac:dyDescent="0.2">
      <c r="E835"/>
      <c r="F835"/>
      <c r="G835"/>
      <c r="I835"/>
      <c r="J835"/>
    </row>
    <row r="836" spans="5:10" x14ac:dyDescent="0.2">
      <c r="E836"/>
      <c r="F836"/>
      <c r="G836"/>
      <c r="I836"/>
      <c r="J836"/>
    </row>
    <row r="837" spans="5:10" x14ac:dyDescent="0.2">
      <c r="E837"/>
      <c r="F837"/>
      <c r="G837"/>
      <c r="I837"/>
      <c r="J837"/>
    </row>
    <row r="838" spans="5:10" x14ac:dyDescent="0.2">
      <c r="E838"/>
      <c r="F838"/>
      <c r="G838"/>
      <c r="I838"/>
      <c r="J838"/>
    </row>
    <row r="839" spans="5:10" x14ac:dyDescent="0.2">
      <c r="E839"/>
      <c r="F839"/>
      <c r="G839"/>
      <c r="I839"/>
      <c r="J839"/>
    </row>
    <row r="840" spans="5:10" x14ac:dyDescent="0.2">
      <c r="E840"/>
      <c r="F840"/>
      <c r="G840"/>
      <c r="I840"/>
      <c r="J840"/>
    </row>
    <row r="841" spans="5:10" x14ac:dyDescent="0.2">
      <c r="E841"/>
      <c r="F841"/>
      <c r="G841"/>
      <c r="I841"/>
      <c r="J841"/>
    </row>
    <row r="842" spans="5:10" x14ac:dyDescent="0.2">
      <c r="E842"/>
      <c r="F842"/>
      <c r="G842"/>
      <c r="I842"/>
      <c r="J842"/>
    </row>
    <row r="843" spans="5:10" x14ac:dyDescent="0.2">
      <c r="E843"/>
      <c r="F843"/>
      <c r="G843"/>
      <c r="I843"/>
      <c r="J843"/>
    </row>
    <row r="844" spans="5:10" x14ac:dyDescent="0.2">
      <c r="E844"/>
      <c r="F844"/>
      <c r="G844"/>
      <c r="I844"/>
      <c r="J844"/>
    </row>
    <row r="845" spans="5:10" x14ac:dyDescent="0.2">
      <c r="E845"/>
      <c r="F845"/>
      <c r="G845"/>
      <c r="I845"/>
      <c r="J845"/>
    </row>
    <row r="846" spans="5:10" x14ac:dyDescent="0.2">
      <c r="E846"/>
      <c r="F846"/>
      <c r="G846"/>
      <c r="I846"/>
      <c r="J846"/>
    </row>
    <row r="847" spans="5:10" x14ac:dyDescent="0.2">
      <c r="E847"/>
      <c r="F847"/>
      <c r="G847"/>
      <c r="I847"/>
      <c r="J847"/>
    </row>
    <row r="848" spans="5:10" x14ac:dyDescent="0.2">
      <c r="E848"/>
      <c r="F848"/>
      <c r="G848"/>
      <c r="I848"/>
      <c r="J848"/>
    </row>
    <row r="849" spans="5:10" x14ac:dyDescent="0.2">
      <c r="E849"/>
      <c r="F849"/>
      <c r="G849"/>
      <c r="I849"/>
      <c r="J849"/>
    </row>
    <row r="850" spans="5:10" x14ac:dyDescent="0.2">
      <c r="E850"/>
      <c r="F850"/>
      <c r="G850"/>
      <c r="I850"/>
      <c r="J850"/>
    </row>
    <row r="851" spans="5:10" x14ac:dyDescent="0.2">
      <c r="E851"/>
      <c r="F851"/>
      <c r="G851"/>
      <c r="I851"/>
      <c r="J851"/>
    </row>
    <row r="852" spans="5:10" x14ac:dyDescent="0.2">
      <c r="E852"/>
      <c r="F852"/>
      <c r="G852"/>
      <c r="I852"/>
      <c r="J852"/>
    </row>
    <row r="853" spans="5:10" x14ac:dyDescent="0.2">
      <c r="E853"/>
      <c r="F853"/>
      <c r="G853"/>
      <c r="I853"/>
      <c r="J853"/>
    </row>
    <row r="854" spans="5:10" x14ac:dyDescent="0.2">
      <c r="E854"/>
      <c r="F854"/>
      <c r="G854"/>
      <c r="I854"/>
      <c r="J854"/>
    </row>
    <row r="855" spans="5:10" x14ac:dyDescent="0.2">
      <c r="E855"/>
      <c r="F855"/>
      <c r="G855"/>
      <c r="I855"/>
      <c r="J855"/>
    </row>
    <row r="856" spans="5:10" x14ac:dyDescent="0.2">
      <c r="E856"/>
      <c r="F856"/>
      <c r="G856"/>
      <c r="I856"/>
      <c r="J856"/>
    </row>
    <row r="857" spans="5:10" x14ac:dyDescent="0.2">
      <c r="E857"/>
      <c r="F857"/>
      <c r="G857"/>
      <c r="I857"/>
      <c r="J857"/>
    </row>
    <row r="858" spans="5:10" x14ac:dyDescent="0.2">
      <c r="E858"/>
      <c r="F858"/>
      <c r="G858"/>
      <c r="I858"/>
      <c r="J858"/>
    </row>
    <row r="859" spans="5:10" x14ac:dyDescent="0.2">
      <c r="E859"/>
      <c r="F859"/>
      <c r="G859"/>
      <c r="I859"/>
      <c r="J859"/>
    </row>
    <row r="860" spans="5:10" x14ac:dyDescent="0.2">
      <c r="E860"/>
      <c r="F860"/>
      <c r="G860"/>
      <c r="I860"/>
      <c r="J860"/>
    </row>
    <row r="861" spans="5:10" x14ac:dyDescent="0.2">
      <c r="E861"/>
      <c r="F861"/>
      <c r="G861"/>
      <c r="I861"/>
      <c r="J861"/>
    </row>
    <row r="862" spans="5:10" x14ac:dyDescent="0.2">
      <c r="E862"/>
      <c r="F862"/>
      <c r="G862"/>
      <c r="I862"/>
      <c r="J862"/>
    </row>
    <row r="863" spans="5:10" x14ac:dyDescent="0.2">
      <c r="E863"/>
      <c r="F863"/>
      <c r="G863"/>
      <c r="I863"/>
      <c r="J863"/>
    </row>
    <row r="864" spans="5:10" x14ac:dyDescent="0.2">
      <c r="E864"/>
      <c r="F864"/>
      <c r="G864"/>
      <c r="I864"/>
      <c r="J864"/>
    </row>
    <row r="865" spans="5:10" x14ac:dyDescent="0.2">
      <c r="E865"/>
      <c r="F865"/>
      <c r="G865"/>
      <c r="I865"/>
      <c r="J865"/>
    </row>
    <row r="866" spans="5:10" x14ac:dyDescent="0.2">
      <c r="E866"/>
      <c r="F866"/>
      <c r="G866"/>
      <c r="I866"/>
      <c r="J866"/>
    </row>
    <row r="867" spans="5:10" x14ac:dyDescent="0.2">
      <c r="E867"/>
      <c r="F867"/>
      <c r="G867"/>
      <c r="I867"/>
      <c r="J867"/>
    </row>
    <row r="868" spans="5:10" x14ac:dyDescent="0.2">
      <c r="E868"/>
      <c r="F868"/>
      <c r="G868"/>
      <c r="I868"/>
      <c r="J868"/>
    </row>
    <row r="869" spans="5:10" x14ac:dyDescent="0.2">
      <c r="E869"/>
      <c r="F869"/>
      <c r="G869"/>
      <c r="I869"/>
      <c r="J869"/>
    </row>
    <row r="870" spans="5:10" x14ac:dyDescent="0.2">
      <c r="E870"/>
      <c r="F870"/>
      <c r="G870"/>
      <c r="I870"/>
      <c r="J870"/>
    </row>
    <row r="871" spans="5:10" x14ac:dyDescent="0.2">
      <c r="E871"/>
      <c r="F871"/>
      <c r="G871"/>
      <c r="I871"/>
      <c r="J871"/>
    </row>
    <row r="872" spans="5:10" x14ac:dyDescent="0.2">
      <c r="E872"/>
      <c r="F872"/>
      <c r="G872"/>
      <c r="I872"/>
      <c r="J872"/>
    </row>
    <row r="873" spans="5:10" x14ac:dyDescent="0.2">
      <c r="E873"/>
      <c r="F873"/>
      <c r="G873"/>
      <c r="I873"/>
      <c r="J873"/>
    </row>
    <row r="874" spans="5:10" x14ac:dyDescent="0.2">
      <c r="E874"/>
      <c r="F874"/>
      <c r="G874"/>
      <c r="I874"/>
      <c r="J874"/>
    </row>
    <row r="875" spans="5:10" x14ac:dyDescent="0.2">
      <c r="E875"/>
      <c r="F875"/>
      <c r="G875"/>
      <c r="I875"/>
      <c r="J875"/>
    </row>
    <row r="876" spans="5:10" x14ac:dyDescent="0.2">
      <c r="E876"/>
      <c r="F876"/>
      <c r="G876"/>
      <c r="I876"/>
      <c r="J876"/>
    </row>
    <row r="877" spans="5:10" x14ac:dyDescent="0.2">
      <c r="E877"/>
      <c r="F877"/>
      <c r="G877"/>
      <c r="I877"/>
      <c r="J877"/>
    </row>
    <row r="878" spans="5:10" x14ac:dyDescent="0.2">
      <c r="E878"/>
      <c r="F878"/>
      <c r="G878"/>
      <c r="I878"/>
      <c r="J878"/>
    </row>
    <row r="879" spans="5:10" x14ac:dyDescent="0.2">
      <c r="E879"/>
      <c r="F879"/>
      <c r="G879"/>
      <c r="I879"/>
      <c r="J879"/>
    </row>
    <row r="880" spans="5:10" x14ac:dyDescent="0.2">
      <c r="E880"/>
      <c r="F880"/>
      <c r="G880"/>
      <c r="I880"/>
      <c r="J880"/>
    </row>
    <row r="881" spans="5:10" x14ac:dyDescent="0.2">
      <c r="E881"/>
      <c r="F881"/>
      <c r="G881"/>
      <c r="I881"/>
      <c r="J881"/>
    </row>
    <row r="882" spans="5:10" x14ac:dyDescent="0.2">
      <c r="E882"/>
      <c r="F882"/>
      <c r="G882"/>
      <c r="I882"/>
      <c r="J882"/>
    </row>
    <row r="883" spans="5:10" x14ac:dyDescent="0.2">
      <c r="E883"/>
      <c r="F883"/>
      <c r="G883"/>
      <c r="I883"/>
      <c r="J883"/>
    </row>
    <row r="884" spans="5:10" x14ac:dyDescent="0.2">
      <c r="E884"/>
      <c r="F884"/>
      <c r="G884"/>
      <c r="I884"/>
      <c r="J884"/>
    </row>
    <row r="885" spans="5:10" x14ac:dyDescent="0.2">
      <c r="E885"/>
      <c r="F885"/>
      <c r="G885"/>
      <c r="I885"/>
      <c r="J885"/>
    </row>
    <row r="886" spans="5:10" x14ac:dyDescent="0.2">
      <c r="E886"/>
      <c r="F886"/>
      <c r="G886"/>
      <c r="I886"/>
      <c r="J886"/>
    </row>
    <row r="887" spans="5:10" x14ac:dyDescent="0.2">
      <c r="E887"/>
      <c r="F887"/>
      <c r="G887"/>
      <c r="I887"/>
      <c r="J887"/>
    </row>
    <row r="888" spans="5:10" x14ac:dyDescent="0.2">
      <c r="E888"/>
      <c r="F888"/>
      <c r="G888"/>
      <c r="I888"/>
      <c r="J888"/>
    </row>
    <row r="889" spans="5:10" x14ac:dyDescent="0.2">
      <c r="E889"/>
      <c r="F889"/>
      <c r="G889"/>
      <c r="I889"/>
      <c r="J889"/>
    </row>
    <row r="890" spans="5:10" x14ac:dyDescent="0.2">
      <c r="E890"/>
      <c r="F890"/>
      <c r="G890"/>
      <c r="I890"/>
      <c r="J890"/>
    </row>
    <row r="891" spans="5:10" x14ac:dyDescent="0.2">
      <c r="E891"/>
      <c r="F891"/>
      <c r="G891"/>
      <c r="I891"/>
      <c r="J891"/>
    </row>
    <row r="892" spans="5:10" x14ac:dyDescent="0.2">
      <c r="E892"/>
      <c r="F892"/>
      <c r="G892"/>
      <c r="I892"/>
      <c r="J892"/>
    </row>
    <row r="893" spans="5:10" x14ac:dyDescent="0.2">
      <c r="E893"/>
      <c r="F893"/>
      <c r="G893"/>
      <c r="I893"/>
      <c r="J893"/>
    </row>
    <row r="894" spans="5:10" x14ac:dyDescent="0.2">
      <c r="E894"/>
      <c r="F894"/>
      <c r="G894"/>
      <c r="I894"/>
      <c r="J894"/>
    </row>
    <row r="895" spans="5:10" x14ac:dyDescent="0.2">
      <c r="E895"/>
      <c r="F895"/>
      <c r="G895"/>
      <c r="I895"/>
      <c r="J895"/>
    </row>
    <row r="896" spans="5:10" x14ac:dyDescent="0.2">
      <c r="E896"/>
      <c r="F896"/>
      <c r="G896"/>
      <c r="I896"/>
      <c r="J896"/>
    </row>
    <row r="897" spans="5:10" x14ac:dyDescent="0.2">
      <c r="E897"/>
      <c r="F897"/>
      <c r="G897"/>
      <c r="I897"/>
      <c r="J897"/>
    </row>
    <row r="898" spans="5:10" x14ac:dyDescent="0.2">
      <c r="E898"/>
      <c r="F898"/>
      <c r="G898"/>
      <c r="I898"/>
      <c r="J898"/>
    </row>
    <row r="899" spans="5:10" x14ac:dyDescent="0.2">
      <c r="E899"/>
      <c r="F899"/>
      <c r="G899"/>
      <c r="I899"/>
      <c r="J899"/>
    </row>
    <row r="900" spans="5:10" x14ac:dyDescent="0.2">
      <c r="E900"/>
      <c r="F900"/>
      <c r="G900"/>
      <c r="I900"/>
      <c r="J900"/>
    </row>
    <row r="901" spans="5:10" x14ac:dyDescent="0.2">
      <c r="E901"/>
      <c r="F901"/>
      <c r="G901"/>
      <c r="I901"/>
      <c r="J901"/>
    </row>
    <row r="902" spans="5:10" x14ac:dyDescent="0.2">
      <c r="E902"/>
      <c r="F902"/>
      <c r="G902"/>
      <c r="I902"/>
      <c r="J902"/>
    </row>
    <row r="903" spans="5:10" x14ac:dyDescent="0.2">
      <c r="E903"/>
      <c r="F903"/>
      <c r="G903"/>
      <c r="I903"/>
      <c r="J903"/>
    </row>
    <row r="904" spans="5:10" x14ac:dyDescent="0.2">
      <c r="E904"/>
      <c r="F904"/>
      <c r="G904"/>
      <c r="I904"/>
      <c r="J904"/>
    </row>
    <row r="905" spans="5:10" x14ac:dyDescent="0.2">
      <c r="E905"/>
      <c r="F905"/>
      <c r="G905"/>
      <c r="I905"/>
      <c r="J905"/>
    </row>
    <row r="906" spans="5:10" x14ac:dyDescent="0.2">
      <c r="E906"/>
      <c r="F906"/>
      <c r="G906"/>
      <c r="I906"/>
      <c r="J906"/>
    </row>
    <row r="907" spans="5:10" x14ac:dyDescent="0.2">
      <c r="E907"/>
      <c r="F907"/>
      <c r="G907"/>
      <c r="I907"/>
      <c r="J907"/>
    </row>
    <row r="908" spans="5:10" x14ac:dyDescent="0.2">
      <c r="E908"/>
      <c r="F908"/>
      <c r="G908"/>
      <c r="I908"/>
      <c r="J908"/>
    </row>
    <row r="909" spans="5:10" x14ac:dyDescent="0.2">
      <c r="E909"/>
      <c r="F909"/>
      <c r="G909"/>
      <c r="I909"/>
      <c r="J909"/>
    </row>
    <row r="910" spans="5:10" x14ac:dyDescent="0.2">
      <c r="E910"/>
      <c r="F910"/>
      <c r="G910"/>
      <c r="I910"/>
      <c r="J910"/>
    </row>
    <row r="911" spans="5:10" x14ac:dyDescent="0.2">
      <c r="E911"/>
      <c r="F911"/>
      <c r="G911"/>
      <c r="I911"/>
      <c r="J911"/>
    </row>
    <row r="912" spans="5:10" x14ac:dyDescent="0.2">
      <c r="E912"/>
      <c r="F912"/>
      <c r="G912"/>
      <c r="I912"/>
      <c r="J912"/>
    </row>
    <row r="913" spans="5:10" x14ac:dyDescent="0.2">
      <c r="E913"/>
      <c r="F913"/>
      <c r="G913"/>
      <c r="I913"/>
      <c r="J913"/>
    </row>
    <row r="914" spans="5:10" x14ac:dyDescent="0.2">
      <c r="E914"/>
      <c r="F914"/>
      <c r="G914"/>
      <c r="I914"/>
      <c r="J914"/>
    </row>
    <row r="915" spans="5:10" x14ac:dyDescent="0.2">
      <c r="E915"/>
      <c r="F915"/>
      <c r="G915"/>
      <c r="I915"/>
      <c r="J915"/>
    </row>
    <row r="916" spans="5:10" x14ac:dyDescent="0.2">
      <c r="E916"/>
      <c r="F916"/>
      <c r="G916"/>
      <c r="I916"/>
      <c r="J916"/>
    </row>
    <row r="917" spans="5:10" x14ac:dyDescent="0.2">
      <c r="E917"/>
      <c r="F917"/>
      <c r="G917"/>
      <c r="I917"/>
      <c r="J917"/>
    </row>
    <row r="918" spans="5:10" x14ac:dyDescent="0.2">
      <c r="E918"/>
      <c r="F918"/>
      <c r="G918"/>
      <c r="I918"/>
      <c r="J918"/>
    </row>
    <row r="919" spans="5:10" x14ac:dyDescent="0.2">
      <c r="E919"/>
      <c r="F919"/>
      <c r="G919"/>
      <c r="I919"/>
      <c r="J919"/>
    </row>
    <row r="920" spans="5:10" x14ac:dyDescent="0.2">
      <c r="E920"/>
      <c r="F920"/>
      <c r="G920"/>
      <c r="I920"/>
      <c r="J920"/>
    </row>
    <row r="921" spans="5:10" x14ac:dyDescent="0.2">
      <c r="E921"/>
      <c r="F921"/>
      <c r="G921"/>
      <c r="I921"/>
      <c r="J921"/>
    </row>
    <row r="922" spans="5:10" x14ac:dyDescent="0.2">
      <c r="E922"/>
      <c r="F922"/>
      <c r="G922"/>
      <c r="I922"/>
      <c r="J922"/>
    </row>
    <row r="923" spans="5:10" x14ac:dyDescent="0.2">
      <c r="E923"/>
      <c r="F923"/>
      <c r="G923"/>
      <c r="I923"/>
      <c r="J923"/>
    </row>
    <row r="924" spans="5:10" x14ac:dyDescent="0.2">
      <c r="E924"/>
      <c r="F924"/>
      <c r="G924"/>
      <c r="I924"/>
      <c r="J924"/>
    </row>
    <row r="925" spans="5:10" x14ac:dyDescent="0.2">
      <c r="E925"/>
      <c r="F925"/>
      <c r="G925"/>
      <c r="I925"/>
      <c r="J925"/>
    </row>
    <row r="926" spans="5:10" x14ac:dyDescent="0.2">
      <c r="E926"/>
      <c r="F926"/>
      <c r="G926"/>
      <c r="I926"/>
      <c r="J926"/>
    </row>
    <row r="927" spans="5:10" x14ac:dyDescent="0.2">
      <c r="E927"/>
      <c r="F927"/>
      <c r="G927"/>
      <c r="I927"/>
      <c r="J927"/>
    </row>
    <row r="928" spans="5:10" x14ac:dyDescent="0.2">
      <c r="E928"/>
      <c r="F928"/>
      <c r="G928"/>
      <c r="I928"/>
      <c r="J928"/>
    </row>
    <row r="929" spans="5:10" x14ac:dyDescent="0.2">
      <c r="E929"/>
      <c r="F929"/>
      <c r="G929"/>
      <c r="I929"/>
      <c r="J929"/>
    </row>
    <row r="930" spans="5:10" x14ac:dyDescent="0.2">
      <c r="E930"/>
      <c r="F930"/>
      <c r="G930"/>
      <c r="I930"/>
      <c r="J930"/>
    </row>
    <row r="931" spans="5:10" x14ac:dyDescent="0.2">
      <c r="E931"/>
      <c r="F931"/>
      <c r="G931"/>
      <c r="I931"/>
      <c r="J931"/>
    </row>
    <row r="932" spans="5:10" x14ac:dyDescent="0.2">
      <c r="E932"/>
      <c r="F932"/>
      <c r="G932"/>
      <c r="I932"/>
      <c r="J932"/>
    </row>
    <row r="933" spans="5:10" x14ac:dyDescent="0.2">
      <c r="E933"/>
      <c r="F933"/>
      <c r="G933"/>
      <c r="I933"/>
      <c r="J933"/>
    </row>
    <row r="934" spans="5:10" x14ac:dyDescent="0.2">
      <c r="E934"/>
      <c r="F934"/>
      <c r="G934"/>
      <c r="I934"/>
      <c r="J934"/>
    </row>
    <row r="935" spans="5:10" x14ac:dyDescent="0.2">
      <c r="E935"/>
      <c r="F935"/>
      <c r="G935"/>
      <c r="I935"/>
      <c r="J935"/>
    </row>
    <row r="936" spans="5:10" x14ac:dyDescent="0.2">
      <c r="E936"/>
      <c r="F936"/>
      <c r="G936"/>
      <c r="I936"/>
      <c r="J936"/>
    </row>
    <row r="937" spans="5:10" x14ac:dyDescent="0.2">
      <c r="E937"/>
      <c r="F937"/>
      <c r="G937"/>
      <c r="I937"/>
      <c r="J937"/>
    </row>
    <row r="938" spans="5:10" x14ac:dyDescent="0.2">
      <c r="E938"/>
      <c r="F938"/>
      <c r="G938"/>
      <c r="I938"/>
      <c r="J938"/>
    </row>
    <row r="939" spans="5:10" x14ac:dyDescent="0.2">
      <c r="E939"/>
      <c r="F939"/>
      <c r="G939"/>
      <c r="I939"/>
      <c r="J939"/>
    </row>
    <row r="940" spans="5:10" x14ac:dyDescent="0.2">
      <c r="E940"/>
      <c r="F940"/>
      <c r="G940"/>
      <c r="I940"/>
      <c r="J940"/>
    </row>
    <row r="941" spans="5:10" x14ac:dyDescent="0.2">
      <c r="E941"/>
      <c r="F941"/>
      <c r="G941"/>
      <c r="I941"/>
      <c r="J941"/>
    </row>
    <row r="942" spans="5:10" x14ac:dyDescent="0.2">
      <c r="E942"/>
      <c r="F942"/>
      <c r="G942"/>
      <c r="I942"/>
      <c r="J942"/>
    </row>
    <row r="943" spans="5:10" x14ac:dyDescent="0.2">
      <c r="E943"/>
      <c r="F943"/>
      <c r="G943"/>
      <c r="I943"/>
      <c r="J943"/>
    </row>
    <row r="944" spans="5:10" x14ac:dyDescent="0.2">
      <c r="E944"/>
      <c r="F944"/>
      <c r="G944"/>
      <c r="I944"/>
      <c r="J944"/>
    </row>
    <row r="945" spans="5:10" x14ac:dyDescent="0.2">
      <c r="E945"/>
      <c r="F945"/>
      <c r="G945"/>
      <c r="I945"/>
      <c r="J945"/>
    </row>
    <row r="946" spans="5:10" x14ac:dyDescent="0.2">
      <c r="E946"/>
      <c r="F946"/>
      <c r="G946"/>
      <c r="I946"/>
      <c r="J946"/>
    </row>
    <row r="947" spans="5:10" x14ac:dyDescent="0.2">
      <c r="E947"/>
      <c r="F947"/>
      <c r="G947"/>
      <c r="I947"/>
      <c r="J947"/>
    </row>
    <row r="948" spans="5:10" x14ac:dyDescent="0.2">
      <c r="E948"/>
      <c r="F948"/>
      <c r="G948"/>
      <c r="I948"/>
      <c r="J948"/>
    </row>
    <row r="949" spans="5:10" x14ac:dyDescent="0.2">
      <c r="E949"/>
      <c r="F949"/>
      <c r="G949"/>
      <c r="I949"/>
      <c r="J949"/>
    </row>
    <row r="950" spans="5:10" x14ac:dyDescent="0.2">
      <c r="E950"/>
      <c r="F950"/>
      <c r="G950"/>
      <c r="I950"/>
      <c r="J950"/>
    </row>
    <row r="951" spans="5:10" x14ac:dyDescent="0.2">
      <c r="E951"/>
      <c r="F951"/>
      <c r="G951"/>
      <c r="I951"/>
      <c r="J951"/>
    </row>
    <row r="952" spans="5:10" x14ac:dyDescent="0.2">
      <c r="E952"/>
      <c r="F952"/>
      <c r="G952"/>
      <c r="I952"/>
      <c r="J952"/>
    </row>
    <row r="953" spans="5:10" x14ac:dyDescent="0.2">
      <c r="E953"/>
      <c r="F953"/>
      <c r="G953"/>
      <c r="I953"/>
      <c r="J953"/>
    </row>
    <row r="954" spans="5:10" x14ac:dyDescent="0.2">
      <c r="E954"/>
      <c r="F954"/>
      <c r="G954"/>
      <c r="I954"/>
      <c r="J954"/>
    </row>
    <row r="955" spans="5:10" x14ac:dyDescent="0.2">
      <c r="E955"/>
      <c r="F955"/>
      <c r="G955"/>
      <c r="I955"/>
      <c r="J955"/>
    </row>
    <row r="956" spans="5:10" x14ac:dyDescent="0.2">
      <c r="E956"/>
      <c r="F956"/>
      <c r="G956"/>
      <c r="I956"/>
      <c r="J956"/>
    </row>
    <row r="957" spans="5:10" x14ac:dyDescent="0.2">
      <c r="E957"/>
      <c r="F957"/>
      <c r="G957"/>
      <c r="I957"/>
      <c r="J957"/>
    </row>
    <row r="958" spans="5:10" x14ac:dyDescent="0.2">
      <c r="E958"/>
      <c r="F958"/>
      <c r="G958"/>
      <c r="I958"/>
      <c r="J958"/>
    </row>
    <row r="959" spans="5:10" x14ac:dyDescent="0.2">
      <c r="E959"/>
      <c r="F959"/>
      <c r="G959"/>
      <c r="I959"/>
      <c r="J959"/>
    </row>
    <row r="960" spans="5:10" x14ac:dyDescent="0.2">
      <c r="E960"/>
      <c r="F960"/>
      <c r="G960"/>
      <c r="I960"/>
      <c r="J960"/>
    </row>
    <row r="961" spans="5:10" x14ac:dyDescent="0.2">
      <c r="E961"/>
      <c r="F961"/>
      <c r="G961"/>
      <c r="I961"/>
      <c r="J961"/>
    </row>
    <row r="962" spans="5:10" x14ac:dyDescent="0.2">
      <c r="E962"/>
      <c r="F962"/>
      <c r="G962"/>
      <c r="I962"/>
      <c r="J962"/>
    </row>
    <row r="963" spans="5:10" x14ac:dyDescent="0.2">
      <c r="E963"/>
      <c r="F963"/>
      <c r="G963"/>
      <c r="I963"/>
      <c r="J963"/>
    </row>
    <row r="964" spans="5:10" x14ac:dyDescent="0.2">
      <c r="E964"/>
      <c r="F964"/>
      <c r="G964"/>
      <c r="I964"/>
      <c r="J964"/>
    </row>
    <row r="965" spans="5:10" x14ac:dyDescent="0.2">
      <c r="E965"/>
      <c r="F965"/>
      <c r="G965"/>
      <c r="I965"/>
      <c r="J965"/>
    </row>
    <row r="966" spans="5:10" x14ac:dyDescent="0.2">
      <c r="E966"/>
      <c r="F966"/>
      <c r="G966"/>
      <c r="I966"/>
      <c r="J966"/>
    </row>
    <row r="967" spans="5:10" x14ac:dyDescent="0.2">
      <c r="E967"/>
      <c r="F967"/>
      <c r="G967"/>
      <c r="I967"/>
      <c r="J967"/>
    </row>
    <row r="968" spans="5:10" x14ac:dyDescent="0.2">
      <c r="E968"/>
      <c r="F968"/>
      <c r="G968"/>
      <c r="I968"/>
      <c r="J968"/>
    </row>
    <row r="969" spans="5:10" x14ac:dyDescent="0.2">
      <c r="E969"/>
      <c r="F969"/>
      <c r="G969"/>
      <c r="I969"/>
      <c r="J969"/>
    </row>
    <row r="970" spans="5:10" x14ac:dyDescent="0.2">
      <c r="E970"/>
      <c r="F970"/>
      <c r="G970"/>
      <c r="I970"/>
      <c r="J970"/>
    </row>
    <row r="971" spans="5:10" x14ac:dyDescent="0.2">
      <c r="E971"/>
      <c r="F971"/>
      <c r="G971"/>
      <c r="I971"/>
      <c r="J971"/>
    </row>
    <row r="972" spans="5:10" x14ac:dyDescent="0.2">
      <c r="E972"/>
      <c r="F972"/>
      <c r="G972"/>
      <c r="I972"/>
      <c r="J972"/>
    </row>
    <row r="973" spans="5:10" x14ac:dyDescent="0.2">
      <c r="E973"/>
      <c r="F973"/>
      <c r="G973"/>
      <c r="I973"/>
      <c r="J973"/>
    </row>
    <row r="974" spans="5:10" x14ac:dyDescent="0.2">
      <c r="E974"/>
      <c r="F974"/>
      <c r="G974"/>
      <c r="I974"/>
      <c r="J974"/>
    </row>
    <row r="975" spans="5:10" x14ac:dyDescent="0.2">
      <c r="E975"/>
      <c r="F975"/>
      <c r="G975"/>
      <c r="I975"/>
      <c r="J975"/>
    </row>
    <row r="976" spans="5:10" x14ac:dyDescent="0.2">
      <c r="E976"/>
      <c r="F976"/>
      <c r="G976"/>
      <c r="I976"/>
      <c r="J976"/>
    </row>
    <row r="977" spans="5:10" x14ac:dyDescent="0.2">
      <c r="E977"/>
      <c r="F977"/>
      <c r="G977"/>
      <c r="I977"/>
      <c r="J977"/>
    </row>
    <row r="978" spans="5:10" x14ac:dyDescent="0.2">
      <c r="E978"/>
      <c r="F978"/>
      <c r="G978"/>
      <c r="I978"/>
      <c r="J978"/>
    </row>
    <row r="979" spans="5:10" x14ac:dyDescent="0.2">
      <c r="E979"/>
      <c r="F979"/>
      <c r="G979"/>
      <c r="I979"/>
      <c r="J979"/>
    </row>
    <row r="980" spans="5:10" x14ac:dyDescent="0.2">
      <c r="E980"/>
      <c r="F980"/>
      <c r="G980"/>
      <c r="I980"/>
      <c r="J980"/>
    </row>
    <row r="981" spans="5:10" x14ac:dyDescent="0.2">
      <c r="E981"/>
      <c r="F981"/>
      <c r="G981"/>
      <c r="I981"/>
      <c r="J981"/>
    </row>
    <row r="982" spans="5:10" x14ac:dyDescent="0.2">
      <c r="E982"/>
      <c r="F982"/>
      <c r="G982"/>
      <c r="I982"/>
      <c r="J982"/>
    </row>
    <row r="983" spans="5:10" x14ac:dyDescent="0.2">
      <c r="E983"/>
      <c r="F983"/>
      <c r="G983"/>
      <c r="I983"/>
      <c r="J983"/>
    </row>
    <row r="984" spans="5:10" x14ac:dyDescent="0.2">
      <c r="E984"/>
      <c r="F984"/>
      <c r="G984"/>
      <c r="I984"/>
      <c r="J984"/>
    </row>
    <row r="985" spans="5:10" x14ac:dyDescent="0.2">
      <c r="E985"/>
      <c r="F985"/>
      <c r="G985"/>
      <c r="I985"/>
      <c r="J985"/>
    </row>
    <row r="986" spans="5:10" x14ac:dyDescent="0.2">
      <c r="E986"/>
      <c r="F986"/>
      <c r="G986"/>
      <c r="I986"/>
      <c r="J986"/>
    </row>
    <row r="987" spans="5:10" x14ac:dyDescent="0.2">
      <c r="E987"/>
      <c r="F987"/>
      <c r="G987"/>
      <c r="I987"/>
      <c r="J987"/>
    </row>
    <row r="988" spans="5:10" x14ac:dyDescent="0.2">
      <c r="E988"/>
      <c r="F988"/>
      <c r="G988"/>
      <c r="I988"/>
      <c r="J988"/>
    </row>
    <row r="989" spans="5:10" x14ac:dyDescent="0.2">
      <c r="E989"/>
      <c r="F989"/>
      <c r="G989"/>
      <c r="I989"/>
      <c r="J989"/>
    </row>
    <row r="990" spans="5:10" x14ac:dyDescent="0.2">
      <c r="E990"/>
      <c r="F990"/>
      <c r="G990"/>
      <c r="I990"/>
      <c r="J990"/>
    </row>
    <row r="991" spans="5:10" x14ac:dyDescent="0.2">
      <c r="E991"/>
      <c r="F991"/>
      <c r="G991"/>
      <c r="I991"/>
      <c r="J991"/>
    </row>
    <row r="992" spans="5:10" x14ac:dyDescent="0.2">
      <c r="E992"/>
      <c r="F992"/>
      <c r="G992"/>
      <c r="I992"/>
      <c r="J992"/>
    </row>
    <row r="993" spans="5:10" x14ac:dyDescent="0.2">
      <c r="E993"/>
      <c r="F993"/>
      <c r="G993"/>
      <c r="I993"/>
      <c r="J993"/>
    </row>
    <row r="994" spans="5:10" x14ac:dyDescent="0.2">
      <c r="E994"/>
      <c r="F994"/>
      <c r="G994"/>
      <c r="I994"/>
      <c r="J994"/>
    </row>
    <row r="995" spans="5:10" x14ac:dyDescent="0.2">
      <c r="E995"/>
      <c r="F995"/>
      <c r="G995"/>
      <c r="I995"/>
      <c r="J995"/>
    </row>
    <row r="996" spans="5:10" x14ac:dyDescent="0.2">
      <c r="E996"/>
      <c r="F996"/>
      <c r="G996"/>
      <c r="I996"/>
      <c r="J996"/>
    </row>
    <row r="997" spans="5:10" x14ac:dyDescent="0.2">
      <c r="E997"/>
      <c r="F997"/>
      <c r="G997"/>
      <c r="I997"/>
      <c r="J997"/>
    </row>
    <row r="998" spans="5:10" x14ac:dyDescent="0.2">
      <c r="E998"/>
      <c r="F998"/>
      <c r="G998"/>
      <c r="I998"/>
      <c r="J998"/>
    </row>
    <row r="999" spans="5:10" x14ac:dyDescent="0.2">
      <c r="E999"/>
      <c r="F999"/>
      <c r="G999"/>
      <c r="I999"/>
      <c r="J999"/>
    </row>
    <row r="1000" spans="5:10" x14ac:dyDescent="0.2">
      <c r="E1000"/>
      <c r="F1000"/>
      <c r="G1000"/>
      <c r="I1000"/>
      <c r="J1000"/>
    </row>
    <row r="1001" spans="5:10" x14ac:dyDescent="0.2">
      <c r="E1001"/>
      <c r="F1001"/>
      <c r="G1001"/>
      <c r="I1001"/>
      <c r="J1001"/>
    </row>
    <row r="1002" spans="5:10" x14ac:dyDescent="0.2">
      <c r="E1002"/>
      <c r="F1002"/>
      <c r="G1002"/>
      <c r="I1002"/>
      <c r="J1002"/>
    </row>
    <row r="1003" spans="5:10" x14ac:dyDescent="0.2">
      <c r="E1003"/>
      <c r="F1003"/>
      <c r="G1003"/>
      <c r="I1003"/>
      <c r="J1003"/>
    </row>
    <row r="1004" spans="5:10" x14ac:dyDescent="0.2">
      <c r="E1004"/>
      <c r="F1004"/>
      <c r="G1004"/>
      <c r="I1004"/>
      <c r="J1004"/>
    </row>
    <row r="1005" spans="5:10" x14ac:dyDescent="0.2">
      <c r="E1005"/>
      <c r="F1005"/>
      <c r="G1005"/>
      <c r="I1005"/>
      <c r="J1005"/>
    </row>
    <row r="1006" spans="5:10" x14ac:dyDescent="0.2">
      <c r="E1006"/>
      <c r="F1006"/>
      <c r="G1006"/>
      <c r="I1006"/>
      <c r="J1006"/>
    </row>
    <row r="1007" spans="5:10" x14ac:dyDescent="0.2">
      <c r="E1007"/>
      <c r="F1007"/>
      <c r="G1007"/>
      <c r="I1007"/>
      <c r="J1007"/>
    </row>
    <row r="1008" spans="5:10" x14ac:dyDescent="0.2">
      <c r="E1008"/>
      <c r="F1008"/>
      <c r="G1008"/>
      <c r="I1008"/>
      <c r="J1008"/>
    </row>
    <row r="1009" spans="5:10" x14ac:dyDescent="0.2">
      <c r="E1009"/>
      <c r="F1009"/>
      <c r="G1009"/>
      <c r="I1009"/>
      <c r="J1009"/>
    </row>
    <row r="1010" spans="5:10" x14ac:dyDescent="0.2">
      <c r="E1010"/>
      <c r="F1010"/>
      <c r="G1010"/>
      <c r="I1010"/>
      <c r="J1010"/>
    </row>
    <row r="1011" spans="5:10" x14ac:dyDescent="0.2">
      <c r="E1011"/>
      <c r="F1011"/>
      <c r="G1011"/>
      <c r="I1011"/>
      <c r="J1011"/>
    </row>
    <row r="1012" spans="5:10" x14ac:dyDescent="0.2">
      <c r="E1012"/>
      <c r="F1012"/>
      <c r="G1012"/>
      <c r="I1012"/>
      <c r="J1012"/>
    </row>
    <row r="1013" spans="5:10" x14ac:dyDescent="0.2">
      <c r="E1013"/>
      <c r="F1013"/>
      <c r="G1013"/>
      <c r="I1013"/>
      <c r="J1013"/>
    </row>
    <row r="1014" spans="5:10" x14ac:dyDescent="0.2">
      <c r="E1014"/>
      <c r="F1014"/>
      <c r="G1014"/>
      <c r="I1014"/>
      <c r="J1014"/>
    </row>
    <row r="1015" spans="5:10" x14ac:dyDescent="0.2">
      <c r="E1015"/>
      <c r="F1015"/>
      <c r="G1015"/>
      <c r="I1015"/>
      <c r="J1015"/>
    </row>
    <row r="1016" spans="5:10" x14ac:dyDescent="0.2">
      <c r="E1016"/>
      <c r="F1016"/>
      <c r="G1016"/>
      <c r="I1016"/>
      <c r="J1016"/>
    </row>
    <row r="1017" spans="5:10" x14ac:dyDescent="0.2">
      <c r="E1017"/>
      <c r="F1017"/>
      <c r="G1017"/>
      <c r="I1017"/>
      <c r="J1017"/>
    </row>
    <row r="1018" spans="5:10" x14ac:dyDescent="0.2">
      <c r="E1018"/>
      <c r="F1018"/>
      <c r="G1018"/>
      <c r="I1018"/>
      <c r="J1018"/>
    </row>
    <row r="1019" spans="5:10" x14ac:dyDescent="0.2">
      <c r="E1019"/>
      <c r="F1019"/>
      <c r="G1019"/>
      <c r="I1019"/>
      <c r="J1019"/>
    </row>
    <row r="1020" spans="5:10" x14ac:dyDescent="0.2">
      <c r="E1020"/>
      <c r="F1020"/>
      <c r="G1020"/>
      <c r="I1020"/>
      <c r="J1020"/>
    </row>
    <row r="1021" spans="5:10" x14ac:dyDescent="0.2">
      <c r="E1021"/>
      <c r="F1021"/>
      <c r="G1021"/>
      <c r="I1021"/>
      <c r="J1021"/>
    </row>
    <row r="1022" spans="5:10" x14ac:dyDescent="0.2">
      <c r="E1022"/>
      <c r="F1022"/>
      <c r="G1022"/>
      <c r="I1022"/>
      <c r="J1022"/>
    </row>
    <row r="1023" spans="5:10" x14ac:dyDescent="0.2">
      <c r="E1023"/>
      <c r="F1023"/>
      <c r="G1023"/>
      <c r="I1023"/>
      <c r="J1023"/>
    </row>
    <row r="1024" spans="5:10" x14ac:dyDescent="0.2">
      <c r="E1024"/>
      <c r="F1024"/>
      <c r="G1024"/>
      <c r="I1024"/>
      <c r="J1024"/>
    </row>
    <row r="1025" spans="5:10" x14ac:dyDescent="0.2">
      <c r="E1025"/>
      <c r="F1025"/>
      <c r="G1025"/>
      <c r="I1025"/>
      <c r="J1025"/>
    </row>
    <row r="1026" spans="5:10" x14ac:dyDescent="0.2">
      <c r="E1026"/>
      <c r="F1026"/>
      <c r="G1026"/>
      <c r="I1026"/>
      <c r="J1026"/>
    </row>
    <row r="1027" spans="5:10" x14ac:dyDescent="0.2">
      <c r="E1027"/>
      <c r="F1027"/>
      <c r="G1027"/>
      <c r="I1027"/>
      <c r="J1027"/>
    </row>
    <row r="1028" spans="5:10" x14ac:dyDescent="0.2">
      <c r="E1028"/>
      <c r="F1028"/>
      <c r="G1028"/>
      <c r="I1028"/>
      <c r="J1028"/>
    </row>
    <row r="1029" spans="5:10" x14ac:dyDescent="0.2">
      <c r="E1029"/>
      <c r="F1029"/>
      <c r="G1029"/>
      <c r="I1029"/>
      <c r="J1029"/>
    </row>
    <row r="1030" spans="5:10" x14ac:dyDescent="0.2">
      <c r="E1030"/>
      <c r="F1030"/>
      <c r="G1030"/>
      <c r="I1030"/>
      <c r="J1030"/>
    </row>
    <row r="1031" spans="5:10" x14ac:dyDescent="0.2">
      <c r="E1031"/>
      <c r="F1031"/>
      <c r="G1031"/>
      <c r="I1031"/>
      <c r="J1031"/>
    </row>
    <row r="1032" spans="5:10" x14ac:dyDescent="0.2">
      <c r="E1032"/>
      <c r="F1032"/>
      <c r="G1032"/>
      <c r="I1032"/>
      <c r="J1032"/>
    </row>
    <row r="1033" spans="5:10" x14ac:dyDescent="0.2">
      <c r="E1033"/>
      <c r="F1033"/>
      <c r="G1033"/>
      <c r="I1033"/>
      <c r="J1033"/>
    </row>
    <row r="1034" spans="5:10" x14ac:dyDescent="0.2">
      <c r="E1034"/>
      <c r="F1034"/>
      <c r="G1034"/>
      <c r="I1034"/>
      <c r="J1034"/>
    </row>
    <row r="1035" spans="5:10" x14ac:dyDescent="0.2">
      <c r="E1035"/>
      <c r="F1035"/>
      <c r="G1035"/>
      <c r="I1035"/>
      <c r="J1035"/>
    </row>
    <row r="1036" spans="5:10" x14ac:dyDescent="0.2">
      <c r="E1036"/>
      <c r="F1036"/>
      <c r="G1036"/>
      <c r="I1036"/>
      <c r="J1036"/>
    </row>
    <row r="1037" spans="5:10" x14ac:dyDescent="0.2">
      <c r="E1037"/>
      <c r="F1037"/>
      <c r="G1037"/>
      <c r="I1037"/>
      <c r="J1037"/>
    </row>
    <row r="1038" spans="5:10" x14ac:dyDescent="0.2">
      <c r="E1038"/>
      <c r="F1038"/>
      <c r="G1038"/>
      <c r="I1038"/>
      <c r="J1038"/>
    </row>
    <row r="1039" spans="5:10" x14ac:dyDescent="0.2">
      <c r="E1039"/>
      <c r="F1039"/>
      <c r="G1039"/>
      <c r="I1039"/>
      <c r="J1039"/>
    </row>
    <row r="1040" spans="5:10" x14ac:dyDescent="0.2">
      <c r="E1040"/>
      <c r="F1040"/>
      <c r="G1040"/>
      <c r="I1040"/>
      <c r="J1040"/>
    </row>
    <row r="1041" spans="5:10" x14ac:dyDescent="0.2">
      <c r="E1041"/>
      <c r="F1041"/>
      <c r="G1041"/>
      <c r="I1041"/>
      <c r="J1041"/>
    </row>
    <row r="1042" spans="5:10" x14ac:dyDescent="0.2">
      <c r="E1042"/>
      <c r="F1042"/>
      <c r="G1042"/>
      <c r="I1042"/>
      <c r="J1042"/>
    </row>
    <row r="1043" spans="5:10" x14ac:dyDescent="0.2">
      <c r="E1043"/>
      <c r="F1043"/>
      <c r="G1043"/>
      <c r="I1043"/>
      <c r="J1043"/>
    </row>
    <row r="1044" spans="5:10" x14ac:dyDescent="0.2">
      <c r="E1044"/>
      <c r="F1044"/>
      <c r="G1044"/>
      <c r="I1044"/>
      <c r="J1044"/>
    </row>
    <row r="1045" spans="5:10" x14ac:dyDescent="0.2">
      <c r="E1045"/>
      <c r="F1045"/>
      <c r="G1045"/>
      <c r="I1045"/>
      <c r="J1045"/>
    </row>
    <row r="1046" spans="5:10" x14ac:dyDescent="0.2">
      <c r="E1046"/>
      <c r="F1046"/>
      <c r="G1046"/>
      <c r="I1046"/>
      <c r="J1046"/>
    </row>
    <row r="1047" spans="5:10" x14ac:dyDescent="0.2">
      <c r="E1047"/>
      <c r="F1047"/>
      <c r="G1047"/>
      <c r="I1047"/>
      <c r="J1047"/>
    </row>
    <row r="1048" spans="5:10" x14ac:dyDescent="0.2">
      <c r="E1048"/>
      <c r="F1048"/>
      <c r="G1048"/>
      <c r="I1048"/>
      <c r="J1048"/>
    </row>
    <row r="1049" spans="5:10" x14ac:dyDescent="0.2">
      <c r="E1049"/>
      <c r="F1049"/>
      <c r="G1049"/>
      <c r="I1049"/>
      <c r="J1049"/>
    </row>
    <row r="1050" spans="5:10" x14ac:dyDescent="0.2">
      <c r="E1050"/>
      <c r="F1050"/>
      <c r="G1050"/>
      <c r="I1050"/>
      <c r="J1050"/>
    </row>
    <row r="1051" spans="5:10" x14ac:dyDescent="0.2">
      <c r="E1051"/>
      <c r="F1051"/>
      <c r="G1051"/>
      <c r="I1051"/>
      <c r="J1051"/>
    </row>
    <row r="1052" spans="5:10" x14ac:dyDescent="0.2">
      <c r="E1052"/>
      <c r="F1052"/>
      <c r="G1052"/>
      <c r="I1052"/>
      <c r="J1052"/>
    </row>
    <row r="1053" spans="5:10" x14ac:dyDescent="0.2">
      <c r="E1053"/>
      <c r="F1053"/>
      <c r="G1053"/>
      <c r="I1053"/>
      <c r="J1053"/>
    </row>
    <row r="1054" spans="5:10" x14ac:dyDescent="0.2">
      <c r="E1054"/>
      <c r="F1054"/>
      <c r="G1054"/>
      <c r="I1054"/>
      <c r="J1054"/>
    </row>
    <row r="1055" spans="5:10" x14ac:dyDescent="0.2">
      <c r="E1055"/>
      <c r="F1055"/>
      <c r="G1055"/>
      <c r="I1055"/>
      <c r="J1055"/>
    </row>
    <row r="1056" spans="5:10" x14ac:dyDescent="0.2">
      <c r="E1056"/>
      <c r="F1056"/>
      <c r="G1056"/>
      <c r="I1056"/>
      <c r="J1056"/>
    </row>
    <row r="1057" spans="5:10" x14ac:dyDescent="0.2">
      <c r="E1057"/>
      <c r="F1057"/>
      <c r="G1057"/>
      <c r="I1057"/>
      <c r="J1057"/>
    </row>
    <row r="1058" spans="5:10" x14ac:dyDescent="0.2">
      <c r="E1058"/>
      <c r="F1058"/>
      <c r="G1058"/>
      <c r="I1058"/>
      <c r="J1058"/>
    </row>
    <row r="1059" spans="5:10" x14ac:dyDescent="0.2">
      <c r="E1059"/>
      <c r="F1059"/>
      <c r="G1059"/>
      <c r="I1059"/>
      <c r="J1059"/>
    </row>
    <row r="1060" spans="5:10" x14ac:dyDescent="0.2">
      <c r="E1060"/>
      <c r="F1060"/>
      <c r="G1060"/>
      <c r="I1060"/>
      <c r="J1060"/>
    </row>
    <row r="1061" spans="5:10" x14ac:dyDescent="0.2">
      <c r="E1061"/>
      <c r="F1061"/>
      <c r="G1061"/>
      <c r="I1061"/>
      <c r="J1061"/>
    </row>
    <row r="1062" spans="5:10" x14ac:dyDescent="0.2">
      <c r="E1062"/>
      <c r="F1062"/>
      <c r="G1062"/>
      <c r="I1062"/>
      <c r="J1062"/>
    </row>
    <row r="1063" spans="5:10" x14ac:dyDescent="0.2">
      <c r="E1063"/>
      <c r="F1063"/>
      <c r="G1063"/>
      <c r="I1063"/>
      <c r="J1063"/>
    </row>
    <row r="1064" spans="5:10" x14ac:dyDescent="0.2">
      <c r="E1064"/>
      <c r="F1064"/>
      <c r="G1064"/>
      <c r="I1064"/>
      <c r="J1064"/>
    </row>
    <row r="1065" spans="5:10" x14ac:dyDescent="0.2">
      <c r="E1065"/>
      <c r="F1065"/>
      <c r="G1065"/>
      <c r="I1065"/>
      <c r="J1065"/>
    </row>
    <row r="1066" spans="5:10" x14ac:dyDescent="0.2">
      <c r="E1066"/>
      <c r="F1066"/>
      <c r="G1066"/>
      <c r="I1066"/>
      <c r="J1066"/>
    </row>
    <row r="1067" spans="5:10" x14ac:dyDescent="0.2">
      <c r="E1067"/>
      <c r="F1067"/>
      <c r="G1067"/>
      <c r="I1067"/>
      <c r="J1067"/>
    </row>
    <row r="1068" spans="5:10" x14ac:dyDescent="0.2">
      <c r="E1068"/>
      <c r="F1068"/>
      <c r="G1068"/>
      <c r="I1068"/>
      <c r="J1068"/>
    </row>
    <row r="1069" spans="5:10" x14ac:dyDescent="0.2">
      <c r="E1069"/>
      <c r="F1069"/>
      <c r="G1069"/>
      <c r="I1069"/>
      <c r="J1069"/>
    </row>
    <row r="1070" spans="5:10" x14ac:dyDescent="0.2">
      <c r="E1070"/>
      <c r="F1070"/>
      <c r="G1070"/>
      <c r="I1070"/>
      <c r="J1070"/>
    </row>
    <row r="1071" spans="5:10" x14ac:dyDescent="0.2">
      <c r="E1071"/>
      <c r="F1071"/>
      <c r="G1071"/>
      <c r="I1071"/>
      <c r="J1071"/>
    </row>
    <row r="1072" spans="5:10" x14ac:dyDescent="0.2">
      <c r="E1072"/>
      <c r="F1072"/>
      <c r="G1072"/>
      <c r="I1072"/>
      <c r="J1072"/>
    </row>
    <row r="1073" spans="5:10" x14ac:dyDescent="0.2">
      <c r="E1073"/>
      <c r="F1073"/>
      <c r="G1073"/>
      <c r="I1073"/>
      <c r="J1073"/>
    </row>
    <row r="1074" spans="5:10" x14ac:dyDescent="0.2">
      <c r="E1074"/>
      <c r="F1074"/>
      <c r="G1074"/>
      <c r="I1074"/>
      <c r="J1074"/>
    </row>
    <row r="1075" spans="5:10" x14ac:dyDescent="0.2">
      <c r="E1075"/>
      <c r="F1075"/>
      <c r="G1075"/>
      <c r="I1075"/>
      <c r="J1075"/>
    </row>
    <row r="1076" spans="5:10" x14ac:dyDescent="0.2">
      <c r="E1076"/>
      <c r="F1076"/>
      <c r="G1076"/>
      <c r="I1076"/>
      <c r="J1076"/>
    </row>
    <row r="1077" spans="5:10" x14ac:dyDescent="0.2">
      <c r="E1077"/>
      <c r="F1077"/>
      <c r="G1077"/>
      <c r="I1077"/>
      <c r="J1077"/>
    </row>
    <row r="1078" spans="5:10" x14ac:dyDescent="0.2">
      <c r="E1078"/>
      <c r="F1078"/>
      <c r="G1078"/>
      <c r="I1078"/>
      <c r="J1078"/>
    </row>
    <row r="1079" spans="5:10" x14ac:dyDescent="0.2">
      <c r="E1079"/>
      <c r="F1079"/>
      <c r="G1079"/>
      <c r="I1079"/>
      <c r="J1079"/>
    </row>
    <row r="1080" spans="5:10" x14ac:dyDescent="0.2">
      <c r="E1080"/>
      <c r="F1080"/>
      <c r="G1080"/>
      <c r="I1080"/>
      <c r="J1080"/>
    </row>
    <row r="1081" spans="5:10" x14ac:dyDescent="0.2">
      <c r="E1081"/>
      <c r="F1081"/>
      <c r="G1081"/>
      <c r="I1081"/>
      <c r="J1081"/>
    </row>
    <row r="1082" spans="5:10" x14ac:dyDescent="0.2">
      <c r="E1082"/>
      <c r="F1082"/>
      <c r="G1082"/>
      <c r="I1082"/>
      <c r="J1082"/>
    </row>
    <row r="1083" spans="5:10" x14ac:dyDescent="0.2">
      <c r="E1083"/>
      <c r="F1083"/>
      <c r="G1083"/>
      <c r="I1083"/>
      <c r="J1083"/>
    </row>
    <row r="1084" spans="5:10" x14ac:dyDescent="0.2">
      <c r="E1084"/>
      <c r="F1084"/>
      <c r="G1084"/>
      <c r="I1084"/>
      <c r="J1084"/>
    </row>
    <row r="1085" spans="5:10" x14ac:dyDescent="0.2">
      <c r="E1085"/>
      <c r="F1085"/>
      <c r="G1085"/>
      <c r="I1085"/>
      <c r="J1085"/>
    </row>
    <row r="1086" spans="5:10" x14ac:dyDescent="0.2">
      <c r="E1086"/>
      <c r="F1086"/>
      <c r="G1086"/>
      <c r="I1086"/>
      <c r="J1086"/>
    </row>
    <row r="1087" spans="5:10" x14ac:dyDescent="0.2">
      <c r="E1087"/>
      <c r="F1087"/>
      <c r="G1087"/>
      <c r="I1087"/>
      <c r="J1087"/>
    </row>
    <row r="1088" spans="5:10" x14ac:dyDescent="0.2">
      <c r="E1088"/>
      <c r="F1088"/>
      <c r="G1088"/>
      <c r="I1088"/>
      <c r="J1088"/>
    </row>
    <row r="1089" spans="5:10" x14ac:dyDescent="0.2">
      <c r="E1089"/>
      <c r="F1089"/>
      <c r="G1089"/>
      <c r="I1089"/>
      <c r="J1089"/>
    </row>
    <row r="1090" spans="5:10" x14ac:dyDescent="0.2">
      <c r="E1090"/>
      <c r="F1090"/>
      <c r="G1090"/>
      <c r="I1090"/>
      <c r="J1090"/>
    </row>
    <row r="1091" spans="5:10" x14ac:dyDescent="0.2">
      <c r="E1091"/>
      <c r="F1091"/>
      <c r="G1091"/>
      <c r="I1091"/>
      <c r="J1091"/>
    </row>
    <row r="1092" spans="5:10" x14ac:dyDescent="0.2">
      <c r="E1092"/>
      <c r="F1092"/>
      <c r="G1092"/>
      <c r="I1092"/>
      <c r="J1092"/>
    </row>
    <row r="1093" spans="5:10" x14ac:dyDescent="0.2">
      <c r="E1093"/>
      <c r="F1093"/>
      <c r="G1093"/>
      <c r="I1093"/>
      <c r="J1093"/>
    </row>
    <row r="1094" spans="5:10" x14ac:dyDescent="0.2">
      <c r="E1094"/>
      <c r="F1094"/>
      <c r="G1094"/>
      <c r="I1094"/>
      <c r="J1094"/>
    </row>
    <row r="1095" spans="5:10" x14ac:dyDescent="0.2">
      <c r="E1095"/>
      <c r="F1095"/>
      <c r="G1095"/>
      <c r="I1095"/>
      <c r="J1095"/>
    </row>
    <row r="1096" spans="5:10" x14ac:dyDescent="0.2">
      <c r="E1096"/>
      <c r="F1096"/>
      <c r="G1096"/>
      <c r="I1096"/>
      <c r="J1096"/>
    </row>
    <row r="1097" spans="5:10" x14ac:dyDescent="0.2">
      <c r="E1097"/>
      <c r="F1097"/>
      <c r="G1097"/>
      <c r="I1097"/>
      <c r="J1097"/>
    </row>
    <row r="1098" spans="5:10" x14ac:dyDescent="0.2">
      <c r="E1098"/>
      <c r="F1098"/>
      <c r="G1098"/>
      <c r="I1098"/>
      <c r="J1098"/>
    </row>
    <row r="1099" spans="5:10" x14ac:dyDescent="0.2">
      <c r="E1099"/>
      <c r="F1099"/>
      <c r="G1099"/>
      <c r="I1099"/>
      <c r="J1099"/>
    </row>
    <row r="1100" spans="5:10" x14ac:dyDescent="0.2">
      <c r="E1100"/>
      <c r="F1100"/>
      <c r="G1100"/>
      <c r="I1100"/>
      <c r="J1100"/>
    </row>
    <row r="1101" spans="5:10" x14ac:dyDescent="0.2">
      <c r="E1101"/>
      <c r="F1101"/>
      <c r="G1101"/>
      <c r="I1101"/>
      <c r="J1101"/>
    </row>
    <row r="1102" spans="5:10" x14ac:dyDescent="0.2">
      <c r="E1102"/>
      <c r="F1102"/>
      <c r="G1102"/>
      <c r="I1102"/>
      <c r="J1102"/>
    </row>
    <row r="1103" spans="5:10" x14ac:dyDescent="0.2">
      <c r="E1103"/>
      <c r="F1103"/>
      <c r="G1103"/>
      <c r="I1103"/>
      <c r="J1103"/>
    </row>
    <row r="1104" spans="5:10" x14ac:dyDescent="0.2">
      <c r="E1104"/>
      <c r="F1104"/>
      <c r="G1104"/>
      <c r="I1104"/>
      <c r="J1104"/>
    </row>
    <row r="1105" spans="5:10" x14ac:dyDescent="0.2">
      <c r="E1105"/>
      <c r="F1105"/>
      <c r="G1105"/>
      <c r="I1105"/>
      <c r="J1105"/>
    </row>
    <row r="1106" spans="5:10" x14ac:dyDescent="0.2">
      <c r="E1106"/>
      <c r="F1106"/>
      <c r="G1106"/>
      <c r="I1106"/>
      <c r="J1106"/>
    </row>
    <row r="1107" spans="5:10" x14ac:dyDescent="0.2">
      <c r="E1107"/>
      <c r="F1107"/>
      <c r="G1107"/>
      <c r="I1107"/>
      <c r="J1107"/>
    </row>
    <row r="1108" spans="5:10" x14ac:dyDescent="0.2">
      <c r="E1108"/>
      <c r="F1108"/>
      <c r="G1108"/>
      <c r="I1108"/>
      <c r="J1108"/>
    </row>
    <row r="1109" spans="5:10" x14ac:dyDescent="0.2">
      <c r="E1109"/>
      <c r="F1109"/>
      <c r="G1109"/>
      <c r="I1109"/>
      <c r="J1109"/>
    </row>
    <row r="1110" spans="5:10" x14ac:dyDescent="0.2">
      <c r="E1110"/>
      <c r="F1110"/>
      <c r="G1110"/>
      <c r="I1110"/>
      <c r="J1110"/>
    </row>
    <row r="1111" spans="5:10" x14ac:dyDescent="0.2">
      <c r="E1111"/>
      <c r="F1111"/>
      <c r="G1111"/>
      <c r="I1111"/>
      <c r="J1111"/>
    </row>
    <row r="1112" spans="5:10" x14ac:dyDescent="0.2">
      <c r="E1112"/>
      <c r="F1112"/>
      <c r="G1112"/>
      <c r="I1112"/>
      <c r="J1112"/>
    </row>
    <row r="1113" spans="5:10" x14ac:dyDescent="0.2">
      <c r="E1113"/>
      <c r="F1113"/>
      <c r="G1113"/>
      <c r="I1113"/>
      <c r="J1113"/>
    </row>
    <row r="1114" spans="5:10" x14ac:dyDescent="0.2">
      <c r="E1114"/>
      <c r="F1114"/>
      <c r="G1114"/>
      <c r="I1114"/>
      <c r="J1114"/>
    </row>
    <row r="1115" spans="5:10" x14ac:dyDescent="0.2">
      <c r="E1115"/>
      <c r="F1115"/>
      <c r="G1115"/>
      <c r="I1115"/>
      <c r="J1115"/>
    </row>
    <row r="1116" spans="5:10" x14ac:dyDescent="0.2">
      <c r="E1116"/>
      <c r="F1116"/>
      <c r="G1116"/>
      <c r="I1116"/>
      <c r="J1116"/>
    </row>
    <row r="1117" spans="5:10" x14ac:dyDescent="0.2">
      <c r="E1117"/>
      <c r="F1117"/>
      <c r="G1117"/>
      <c r="I1117"/>
      <c r="J1117"/>
    </row>
    <row r="1118" spans="5:10" x14ac:dyDescent="0.2">
      <c r="E1118"/>
      <c r="F1118"/>
      <c r="G1118"/>
      <c r="I1118"/>
      <c r="J1118"/>
    </row>
    <row r="1119" spans="5:10" x14ac:dyDescent="0.2">
      <c r="E1119"/>
      <c r="F1119"/>
      <c r="G1119"/>
      <c r="I1119"/>
      <c r="J1119"/>
    </row>
    <row r="1120" spans="5:10" x14ac:dyDescent="0.2">
      <c r="E1120"/>
      <c r="F1120"/>
      <c r="G1120"/>
      <c r="I1120"/>
      <c r="J1120"/>
    </row>
    <row r="1121" spans="5:10" x14ac:dyDescent="0.2">
      <c r="E1121"/>
      <c r="F1121"/>
      <c r="G1121"/>
      <c r="I1121"/>
      <c r="J1121"/>
    </row>
    <row r="1122" spans="5:10" x14ac:dyDescent="0.2">
      <c r="E1122"/>
      <c r="F1122"/>
      <c r="G1122"/>
      <c r="I1122"/>
      <c r="J1122"/>
    </row>
    <row r="1123" spans="5:10" x14ac:dyDescent="0.2">
      <c r="E1123"/>
      <c r="F1123"/>
      <c r="G1123"/>
      <c r="I1123"/>
      <c r="J1123"/>
    </row>
    <row r="1124" spans="5:10" x14ac:dyDescent="0.2">
      <c r="E1124"/>
      <c r="F1124"/>
      <c r="G1124"/>
      <c r="I1124"/>
      <c r="J1124"/>
    </row>
    <row r="1125" spans="5:10" x14ac:dyDescent="0.2">
      <c r="E1125"/>
      <c r="F1125"/>
      <c r="G1125"/>
      <c r="I1125"/>
      <c r="J1125"/>
    </row>
    <row r="1126" spans="5:10" x14ac:dyDescent="0.2">
      <c r="E1126"/>
      <c r="F1126"/>
      <c r="G1126"/>
      <c r="I1126"/>
      <c r="J1126"/>
    </row>
    <row r="1127" spans="5:10" x14ac:dyDescent="0.2">
      <c r="E1127"/>
      <c r="F1127"/>
      <c r="G1127"/>
      <c r="I1127"/>
      <c r="J1127"/>
    </row>
    <row r="1128" spans="5:10" x14ac:dyDescent="0.2">
      <c r="E1128"/>
      <c r="F1128"/>
      <c r="G1128"/>
      <c r="I1128"/>
      <c r="J1128"/>
    </row>
    <row r="1129" spans="5:10" x14ac:dyDescent="0.2">
      <c r="E1129"/>
      <c r="F1129"/>
      <c r="G1129"/>
      <c r="I1129"/>
      <c r="J1129"/>
    </row>
    <row r="1130" spans="5:10" x14ac:dyDescent="0.2">
      <c r="E1130"/>
      <c r="F1130"/>
      <c r="G1130"/>
      <c r="I1130"/>
      <c r="J1130"/>
    </row>
    <row r="1131" spans="5:10" x14ac:dyDescent="0.2">
      <c r="E1131"/>
      <c r="F1131"/>
      <c r="G1131"/>
      <c r="I1131"/>
      <c r="J1131"/>
    </row>
    <row r="1132" spans="5:10" x14ac:dyDescent="0.2">
      <c r="E1132"/>
      <c r="F1132"/>
      <c r="G1132"/>
      <c r="I1132"/>
      <c r="J1132"/>
    </row>
    <row r="1133" spans="5:10" x14ac:dyDescent="0.2">
      <c r="E1133"/>
      <c r="F1133"/>
      <c r="G1133"/>
      <c r="I1133"/>
      <c r="J1133"/>
    </row>
    <row r="1134" spans="5:10" x14ac:dyDescent="0.2">
      <c r="E1134"/>
      <c r="F1134"/>
      <c r="G1134"/>
      <c r="I1134"/>
      <c r="J1134"/>
    </row>
    <row r="1135" spans="5:10" x14ac:dyDescent="0.2">
      <c r="E1135"/>
      <c r="F1135"/>
      <c r="G1135"/>
      <c r="I1135"/>
      <c r="J1135"/>
    </row>
    <row r="1136" spans="5:10" x14ac:dyDescent="0.2">
      <c r="E1136"/>
      <c r="F1136"/>
      <c r="G1136"/>
      <c r="I1136"/>
      <c r="J1136"/>
    </row>
    <row r="1137" spans="5:10" x14ac:dyDescent="0.2">
      <c r="E1137"/>
      <c r="F1137"/>
      <c r="G1137"/>
      <c r="I1137"/>
      <c r="J1137"/>
    </row>
    <row r="1138" spans="5:10" x14ac:dyDescent="0.2">
      <c r="E1138"/>
      <c r="F1138"/>
      <c r="G1138"/>
      <c r="I1138"/>
      <c r="J1138"/>
    </row>
    <row r="1139" spans="5:10" x14ac:dyDescent="0.2">
      <c r="E1139"/>
      <c r="F1139"/>
      <c r="G1139"/>
      <c r="I1139"/>
      <c r="J1139"/>
    </row>
    <row r="1140" spans="5:10" x14ac:dyDescent="0.2">
      <c r="E1140"/>
      <c r="F1140"/>
      <c r="G1140"/>
      <c r="I1140"/>
      <c r="J1140"/>
    </row>
    <row r="1141" spans="5:10" x14ac:dyDescent="0.2">
      <c r="E1141"/>
      <c r="F1141"/>
      <c r="G1141"/>
      <c r="I1141"/>
      <c r="J1141"/>
    </row>
    <row r="1142" spans="5:10" x14ac:dyDescent="0.2">
      <c r="E1142"/>
      <c r="F1142"/>
      <c r="G1142"/>
      <c r="I1142"/>
      <c r="J1142"/>
    </row>
    <row r="1143" spans="5:10" x14ac:dyDescent="0.2">
      <c r="E1143"/>
      <c r="F1143"/>
      <c r="G1143"/>
      <c r="I1143"/>
      <c r="J1143"/>
    </row>
    <row r="1144" spans="5:10" x14ac:dyDescent="0.2">
      <c r="E1144"/>
      <c r="F1144"/>
      <c r="G1144"/>
      <c r="I1144"/>
      <c r="J1144"/>
    </row>
    <row r="1145" spans="5:10" x14ac:dyDescent="0.2">
      <c r="E1145"/>
      <c r="F1145"/>
      <c r="G1145"/>
      <c r="I1145"/>
      <c r="J1145"/>
    </row>
    <row r="1146" spans="5:10" x14ac:dyDescent="0.2">
      <c r="E1146"/>
      <c r="F1146"/>
      <c r="G1146"/>
      <c r="I1146"/>
      <c r="J1146"/>
    </row>
    <row r="1147" spans="5:10" x14ac:dyDescent="0.2">
      <c r="E1147"/>
      <c r="F1147"/>
      <c r="G1147"/>
      <c r="I1147"/>
      <c r="J1147"/>
    </row>
    <row r="1148" spans="5:10" x14ac:dyDescent="0.2">
      <c r="E1148"/>
      <c r="F1148"/>
      <c r="G1148"/>
      <c r="I1148"/>
      <c r="J1148"/>
    </row>
    <row r="1149" spans="5:10" x14ac:dyDescent="0.2">
      <c r="E1149"/>
      <c r="F1149"/>
      <c r="G1149"/>
      <c r="I1149"/>
      <c r="J1149"/>
    </row>
    <row r="1150" spans="5:10" x14ac:dyDescent="0.2">
      <c r="E1150"/>
      <c r="F1150"/>
      <c r="G1150"/>
      <c r="I1150"/>
      <c r="J1150"/>
    </row>
    <row r="1151" spans="5:10" x14ac:dyDescent="0.2">
      <c r="E1151"/>
      <c r="F1151"/>
      <c r="G1151"/>
      <c r="I1151"/>
      <c r="J1151"/>
    </row>
    <row r="1152" spans="5:10" x14ac:dyDescent="0.2">
      <c r="E1152"/>
      <c r="F1152"/>
      <c r="G1152"/>
      <c r="I1152"/>
      <c r="J1152"/>
    </row>
    <row r="1153" spans="5:10" x14ac:dyDescent="0.2">
      <c r="E1153"/>
      <c r="F1153"/>
      <c r="G1153"/>
      <c r="I1153"/>
      <c r="J1153"/>
    </row>
    <row r="1154" spans="5:10" x14ac:dyDescent="0.2">
      <c r="E1154"/>
      <c r="F1154"/>
      <c r="G1154"/>
      <c r="I1154"/>
      <c r="J1154"/>
    </row>
    <row r="1155" spans="5:10" x14ac:dyDescent="0.2">
      <c r="E1155"/>
      <c r="F1155"/>
      <c r="G1155"/>
      <c r="I1155"/>
      <c r="J1155"/>
    </row>
    <row r="1156" spans="5:10" x14ac:dyDescent="0.2">
      <c r="E1156"/>
      <c r="F1156"/>
      <c r="G1156"/>
      <c r="I1156"/>
      <c r="J1156"/>
    </row>
    <row r="1157" spans="5:10" x14ac:dyDescent="0.2">
      <c r="E1157"/>
      <c r="F1157"/>
      <c r="G1157"/>
      <c r="I1157"/>
      <c r="J1157"/>
    </row>
    <row r="1158" spans="5:10" x14ac:dyDescent="0.2">
      <c r="E1158"/>
      <c r="F1158"/>
      <c r="G1158"/>
      <c r="I1158"/>
      <c r="J1158"/>
    </row>
    <row r="1159" spans="5:10" x14ac:dyDescent="0.2">
      <c r="E1159"/>
      <c r="F1159"/>
      <c r="G1159"/>
      <c r="I1159"/>
      <c r="J1159"/>
    </row>
    <row r="1160" spans="5:10" x14ac:dyDescent="0.2">
      <c r="E1160"/>
      <c r="F1160"/>
      <c r="G1160"/>
      <c r="I1160"/>
      <c r="J1160"/>
    </row>
    <row r="1161" spans="5:10" x14ac:dyDescent="0.2">
      <c r="E1161"/>
      <c r="F1161"/>
      <c r="G1161"/>
      <c r="I1161"/>
      <c r="J1161"/>
    </row>
    <row r="1162" spans="5:10" x14ac:dyDescent="0.2">
      <c r="E1162"/>
      <c r="F1162"/>
      <c r="G1162"/>
      <c r="I1162"/>
      <c r="J1162"/>
    </row>
    <row r="1163" spans="5:10" x14ac:dyDescent="0.2">
      <c r="E1163"/>
      <c r="F1163"/>
      <c r="G1163"/>
      <c r="I1163"/>
      <c r="J1163"/>
    </row>
    <row r="1164" spans="5:10" x14ac:dyDescent="0.2">
      <c r="E1164"/>
      <c r="F1164"/>
      <c r="G1164"/>
      <c r="I1164"/>
      <c r="J1164"/>
    </row>
    <row r="1165" spans="5:10" x14ac:dyDescent="0.2">
      <c r="E1165"/>
      <c r="F1165"/>
      <c r="G1165"/>
      <c r="I1165"/>
      <c r="J1165"/>
    </row>
    <row r="1166" spans="5:10" x14ac:dyDescent="0.2">
      <c r="E1166"/>
      <c r="F1166"/>
      <c r="G1166"/>
      <c r="I1166"/>
      <c r="J1166"/>
    </row>
    <row r="1167" spans="5:10" x14ac:dyDescent="0.2">
      <c r="E1167"/>
      <c r="F1167"/>
      <c r="G1167"/>
      <c r="I1167"/>
      <c r="J1167"/>
    </row>
    <row r="1168" spans="5:10" x14ac:dyDescent="0.2">
      <c r="E1168"/>
      <c r="F1168"/>
      <c r="G1168"/>
      <c r="I1168"/>
      <c r="J1168"/>
    </row>
    <row r="1169" spans="5:10" x14ac:dyDescent="0.2">
      <c r="E1169"/>
      <c r="F1169"/>
      <c r="G1169"/>
      <c r="I1169"/>
      <c r="J1169"/>
    </row>
    <row r="1170" spans="5:10" x14ac:dyDescent="0.2">
      <c r="E1170"/>
      <c r="F1170"/>
      <c r="G1170"/>
      <c r="I1170"/>
      <c r="J1170"/>
    </row>
    <row r="1171" spans="5:10" x14ac:dyDescent="0.2">
      <c r="E1171"/>
      <c r="F1171"/>
      <c r="G1171"/>
      <c r="I1171"/>
      <c r="J1171"/>
    </row>
    <row r="1172" spans="5:10" x14ac:dyDescent="0.2">
      <c r="E1172"/>
      <c r="F1172"/>
      <c r="G1172"/>
      <c r="I1172"/>
      <c r="J1172"/>
    </row>
    <row r="1173" spans="5:10" x14ac:dyDescent="0.2">
      <c r="E1173"/>
      <c r="F1173"/>
      <c r="G1173"/>
      <c r="I1173"/>
      <c r="J1173"/>
    </row>
    <row r="1174" spans="5:10" x14ac:dyDescent="0.2">
      <c r="E1174"/>
      <c r="F1174"/>
      <c r="G1174"/>
      <c r="I1174"/>
      <c r="J1174"/>
    </row>
    <row r="1175" spans="5:10" x14ac:dyDescent="0.2">
      <c r="E1175"/>
      <c r="F1175"/>
      <c r="G1175"/>
      <c r="I1175"/>
      <c r="J1175"/>
    </row>
    <row r="1176" spans="5:10" x14ac:dyDescent="0.2">
      <c r="E1176"/>
      <c r="F1176"/>
      <c r="G1176"/>
      <c r="I1176"/>
      <c r="J1176"/>
    </row>
    <row r="1177" spans="5:10" x14ac:dyDescent="0.2">
      <c r="E1177"/>
      <c r="F1177"/>
      <c r="G1177"/>
      <c r="I1177"/>
      <c r="J1177"/>
    </row>
    <row r="1178" spans="5:10" x14ac:dyDescent="0.2">
      <c r="E1178"/>
      <c r="F1178"/>
      <c r="G1178"/>
      <c r="I1178"/>
      <c r="J1178"/>
    </row>
    <row r="1179" spans="5:10" x14ac:dyDescent="0.2">
      <c r="E1179"/>
      <c r="F1179"/>
      <c r="G1179"/>
      <c r="I1179"/>
      <c r="J1179"/>
    </row>
    <row r="1180" spans="5:10" x14ac:dyDescent="0.2">
      <c r="E1180"/>
      <c r="F1180"/>
      <c r="G1180"/>
      <c r="I1180"/>
      <c r="J1180"/>
    </row>
    <row r="1181" spans="5:10" x14ac:dyDescent="0.2">
      <c r="E1181"/>
      <c r="F1181"/>
      <c r="G1181"/>
      <c r="I1181"/>
      <c r="J1181"/>
    </row>
    <row r="1182" spans="5:10" x14ac:dyDescent="0.2">
      <c r="E1182"/>
      <c r="F1182"/>
      <c r="G1182"/>
      <c r="I1182"/>
      <c r="J1182"/>
    </row>
    <row r="1183" spans="5:10" x14ac:dyDescent="0.2">
      <c r="E1183"/>
      <c r="F1183"/>
      <c r="G1183"/>
      <c r="I1183"/>
      <c r="J1183"/>
    </row>
    <row r="1184" spans="5:10" x14ac:dyDescent="0.2">
      <c r="E1184"/>
      <c r="F1184"/>
      <c r="G1184"/>
      <c r="I1184"/>
      <c r="J1184"/>
    </row>
    <row r="1185" spans="5:10" x14ac:dyDescent="0.2">
      <c r="E1185"/>
      <c r="F1185"/>
      <c r="G1185"/>
      <c r="I1185"/>
      <c r="J1185"/>
    </row>
    <row r="1186" spans="5:10" x14ac:dyDescent="0.2">
      <c r="E1186"/>
      <c r="F1186"/>
      <c r="G1186"/>
      <c r="I1186"/>
      <c r="J1186"/>
    </row>
    <row r="1187" spans="5:10" x14ac:dyDescent="0.2">
      <c r="E1187"/>
      <c r="F1187"/>
      <c r="G1187"/>
      <c r="I1187"/>
      <c r="J1187"/>
    </row>
    <row r="1188" spans="5:10" x14ac:dyDescent="0.2">
      <c r="E1188"/>
      <c r="F1188"/>
      <c r="G1188"/>
      <c r="I1188"/>
      <c r="J1188"/>
    </row>
    <row r="1189" spans="5:10" x14ac:dyDescent="0.2">
      <c r="E1189"/>
      <c r="F1189"/>
      <c r="G1189"/>
      <c r="I1189"/>
      <c r="J1189"/>
    </row>
    <row r="1190" spans="5:10" x14ac:dyDescent="0.2">
      <c r="E1190"/>
      <c r="F1190"/>
      <c r="G1190"/>
      <c r="I1190"/>
      <c r="J1190"/>
    </row>
    <row r="1191" spans="5:10" x14ac:dyDescent="0.2">
      <c r="E1191"/>
      <c r="F1191"/>
      <c r="G1191"/>
      <c r="I1191"/>
      <c r="J1191"/>
    </row>
    <row r="1192" spans="5:10" x14ac:dyDescent="0.2">
      <c r="E1192"/>
      <c r="F1192"/>
      <c r="G1192"/>
      <c r="I1192"/>
      <c r="J1192"/>
    </row>
    <row r="1193" spans="5:10" x14ac:dyDescent="0.2">
      <c r="E1193"/>
      <c r="F1193"/>
      <c r="G1193"/>
      <c r="I1193"/>
      <c r="J1193"/>
    </row>
    <row r="1194" spans="5:10" x14ac:dyDescent="0.2">
      <c r="E1194"/>
      <c r="F1194"/>
      <c r="G1194"/>
      <c r="I1194"/>
      <c r="J1194"/>
    </row>
    <row r="1195" spans="5:10" x14ac:dyDescent="0.2">
      <c r="E1195"/>
      <c r="F1195"/>
      <c r="G1195"/>
      <c r="I1195"/>
      <c r="J1195"/>
    </row>
    <row r="1196" spans="5:10" x14ac:dyDescent="0.2">
      <c r="E1196"/>
      <c r="F1196"/>
      <c r="G1196"/>
      <c r="I1196"/>
      <c r="J1196"/>
    </row>
    <row r="1197" spans="5:10" x14ac:dyDescent="0.2">
      <c r="E1197"/>
      <c r="F1197"/>
      <c r="G1197"/>
      <c r="I1197"/>
      <c r="J1197"/>
    </row>
    <row r="1198" spans="5:10" x14ac:dyDescent="0.2">
      <c r="E1198"/>
      <c r="F1198"/>
      <c r="G1198"/>
      <c r="I1198"/>
      <c r="J1198"/>
    </row>
    <row r="1199" spans="5:10" x14ac:dyDescent="0.2">
      <c r="E1199"/>
      <c r="F1199"/>
      <c r="G1199"/>
      <c r="I1199"/>
      <c r="J1199"/>
    </row>
    <row r="1200" spans="5:10" x14ac:dyDescent="0.2">
      <c r="E1200"/>
      <c r="F1200"/>
      <c r="G1200"/>
      <c r="I1200"/>
      <c r="J1200"/>
    </row>
    <row r="1201" spans="5:10" x14ac:dyDescent="0.2">
      <c r="E1201"/>
      <c r="F1201"/>
      <c r="G1201"/>
      <c r="I1201"/>
      <c r="J1201"/>
    </row>
    <row r="1202" spans="5:10" x14ac:dyDescent="0.2">
      <c r="E1202"/>
      <c r="F1202"/>
      <c r="G1202"/>
      <c r="I1202"/>
      <c r="J1202"/>
    </row>
    <row r="1203" spans="5:10" x14ac:dyDescent="0.2">
      <c r="E1203"/>
      <c r="F1203"/>
      <c r="G1203"/>
      <c r="I1203"/>
      <c r="J1203"/>
    </row>
    <row r="1204" spans="5:10" x14ac:dyDescent="0.2">
      <c r="E1204"/>
      <c r="F1204"/>
      <c r="G1204"/>
      <c r="I1204"/>
      <c r="J1204"/>
    </row>
    <row r="1205" spans="5:10" x14ac:dyDescent="0.2">
      <c r="E1205"/>
      <c r="F1205"/>
      <c r="G1205"/>
      <c r="I1205"/>
      <c r="J1205"/>
    </row>
    <row r="1206" spans="5:10" x14ac:dyDescent="0.2">
      <c r="E1206"/>
      <c r="F1206"/>
      <c r="G1206"/>
      <c r="I1206"/>
      <c r="J1206"/>
    </row>
    <row r="1207" spans="5:10" x14ac:dyDescent="0.2">
      <c r="E1207"/>
      <c r="F1207"/>
      <c r="G1207"/>
      <c r="I1207"/>
      <c r="J1207"/>
    </row>
    <row r="1208" spans="5:10" x14ac:dyDescent="0.2">
      <c r="E1208"/>
      <c r="F1208"/>
      <c r="G1208"/>
      <c r="I1208"/>
      <c r="J1208"/>
    </row>
    <row r="1209" spans="5:10" x14ac:dyDescent="0.2">
      <c r="E1209"/>
      <c r="F1209"/>
      <c r="G1209"/>
      <c r="I1209"/>
      <c r="J1209"/>
    </row>
    <row r="1210" spans="5:10" x14ac:dyDescent="0.2">
      <c r="E1210"/>
      <c r="F1210"/>
      <c r="G1210"/>
      <c r="I1210"/>
      <c r="J1210"/>
    </row>
    <row r="1211" spans="5:10" x14ac:dyDescent="0.2">
      <c r="E1211"/>
      <c r="F1211"/>
      <c r="G1211"/>
      <c r="I1211"/>
      <c r="J1211"/>
    </row>
    <row r="1212" spans="5:10" x14ac:dyDescent="0.2">
      <c r="E1212"/>
      <c r="F1212"/>
      <c r="G1212"/>
      <c r="I1212"/>
      <c r="J1212"/>
    </row>
    <row r="1213" spans="5:10" x14ac:dyDescent="0.2">
      <c r="E1213"/>
      <c r="F1213"/>
      <c r="G1213"/>
      <c r="I1213"/>
      <c r="J1213"/>
    </row>
    <row r="1214" spans="5:10" x14ac:dyDescent="0.2">
      <c r="E1214"/>
      <c r="F1214"/>
      <c r="G1214"/>
      <c r="I1214"/>
      <c r="J1214"/>
    </row>
    <row r="1215" spans="5:10" x14ac:dyDescent="0.2">
      <c r="E1215"/>
      <c r="F1215"/>
      <c r="G1215"/>
      <c r="I1215"/>
      <c r="J1215"/>
    </row>
    <row r="1216" spans="5:10" x14ac:dyDescent="0.2">
      <c r="E1216"/>
      <c r="F1216"/>
      <c r="G1216"/>
      <c r="I1216"/>
      <c r="J1216"/>
    </row>
    <row r="1217" spans="5:10" x14ac:dyDescent="0.2">
      <c r="E1217"/>
      <c r="F1217"/>
      <c r="G1217"/>
      <c r="I1217"/>
      <c r="J1217"/>
    </row>
    <row r="1218" spans="5:10" x14ac:dyDescent="0.2">
      <c r="E1218"/>
      <c r="F1218"/>
      <c r="G1218"/>
      <c r="I1218"/>
      <c r="J1218"/>
    </row>
    <row r="1219" spans="5:10" x14ac:dyDescent="0.2">
      <c r="E1219"/>
      <c r="F1219"/>
      <c r="G1219"/>
      <c r="I1219"/>
      <c r="J1219"/>
    </row>
    <row r="1220" spans="5:10" x14ac:dyDescent="0.2">
      <c r="E1220"/>
      <c r="F1220"/>
      <c r="G1220"/>
      <c r="I1220"/>
      <c r="J1220"/>
    </row>
    <row r="1221" spans="5:10" x14ac:dyDescent="0.2">
      <c r="E1221"/>
      <c r="F1221"/>
      <c r="G1221"/>
      <c r="I1221"/>
      <c r="J1221"/>
    </row>
    <row r="1222" spans="5:10" x14ac:dyDescent="0.2">
      <c r="E1222"/>
      <c r="F1222"/>
      <c r="G1222"/>
      <c r="I1222"/>
      <c r="J1222"/>
    </row>
    <row r="1223" spans="5:10" x14ac:dyDescent="0.2">
      <c r="E1223"/>
      <c r="F1223"/>
      <c r="G1223"/>
      <c r="I1223"/>
      <c r="J1223"/>
    </row>
    <row r="1224" spans="5:10" x14ac:dyDescent="0.2">
      <c r="E1224"/>
      <c r="F1224"/>
      <c r="G1224"/>
      <c r="I1224"/>
      <c r="J1224"/>
    </row>
    <row r="1225" spans="5:10" x14ac:dyDescent="0.2">
      <c r="E1225"/>
      <c r="F1225"/>
      <c r="G1225"/>
      <c r="I1225"/>
      <c r="J1225"/>
    </row>
    <row r="1226" spans="5:10" x14ac:dyDescent="0.2">
      <c r="E1226"/>
      <c r="F1226"/>
      <c r="G1226"/>
      <c r="I1226"/>
      <c r="J1226"/>
    </row>
    <row r="1227" spans="5:10" x14ac:dyDescent="0.2">
      <c r="E1227"/>
      <c r="F1227"/>
      <c r="G1227"/>
      <c r="I1227"/>
      <c r="J1227"/>
    </row>
    <row r="1228" spans="5:10" x14ac:dyDescent="0.2">
      <c r="E1228"/>
      <c r="F1228"/>
      <c r="G1228"/>
      <c r="I1228"/>
      <c r="J1228"/>
    </row>
    <row r="1229" spans="5:10" x14ac:dyDescent="0.2">
      <c r="E1229"/>
      <c r="F1229"/>
      <c r="G1229"/>
      <c r="I1229"/>
      <c r="J1229"/>
    </row>
    <row r="1230" spans="5:10" x14ac:dyDescent="0.2">
      <c r="E1230"/>
      <c r="F1230"/>
      <c r="G1230"/>
      <c r="I1230"/>
      <c r="J1230"/>
    </row>
    <row r="1231" spans="5:10" x14ac:dyDescent="0.2">
      <c r="E1231"/>
      <c r="F1231"/>
      <c r="G1231"/>
      <c r="I1231"/>
      <c r="J1231"/>
    </row>
    <row r="1232" spans="5:10" x14ac:dyDescent="0.2">
      <c r="E1232"/>
      <c r="F1232"/>
      <c r="G1232"/>
      <c r="I1232"/>
      <c r="J1232"/>
    </row>
    <row r="1233" spans="5:10" x14ac:dyDescent="0.2">
      <c r="E1233"/>
      <c r="F1233"/>
      <c r="G1233"/>
      <c r="I1233"/>
      <c r="J1233"/>
    </row>
    <row r="1234" spans="5:10" x14ac:dyDescent="0.2">
      <c r="E1234"/>
      <c r="F1234"/>
      <c r="G1234"/>
      <c r="I1234"/>
      <c r="J1234"/>
    </row>
    <row r="1235" spans="5:10" x14ac:dyDescent="0.2">
      <c r="E1235"/>
      <c r="F1235"/>
      <c r="G1235"/>
      <c r="I1235"/>
      <c r="J1235"/>
    </row>
    <row r="1236" spans="5:10" x14ac:dyDescent="0.2">
      <c r="E1236"/>
      <c r="F1236"/>
      <c r="G1236"/>
      <c r="I1236"/>
      <c r="J1236"/>
    </row>
    <row r="1237" spans="5:10" x14ac:dyDescent="0.2">
      <c r="E1237"/>
      <c r="F1237"/>
      <c r="G1237"/>
      <c r="I1237"/>
      <c r="J1237"/>
    </row>
    <row r="1238" spans="5:10" x14ac:dyDescent="0.2">
      <c r="E1238"/>
      <c r="F1238"/>
      <c r="G1238"/>
      <c r="I1238"/>
      <c r="J1238"/>
    </row>
    <row r="1239" spans="5:10" x14ac:dyDescent="0.2">
      <c r="E1239"/>
      <c r="F1239"/>
      <c r="G1239"/>
      <c r="I1239"/>
      <c r="J1239"/>
    </row>
    <row r="1240" spans="5:10" x14ac:dyDescent="0.2">
      <c r="E1240"/>
      <c r="F1240"/>
      <c r="G1240"/>
      <c r="I1240"/>
      <c r="J1240"/>
    </row>
    <row r="1241" spans="5:10" x14ac:dyDescent="0.2">
      <c r="E1241"/>
      <c r="F1241"/>
      <c r="G1241"/>
      <c r="I1241"/>
      <c r="J1241"/>
    </row>
    <row r="1242" spans="5:10" x14ac:dyDescent="0.2">
      <c r="E1242"/>
      <c r="F1242"/>
      <c r="G1242"/>
      <c r="I1242"/>
      <c r="J1242"/>
    </row>
    <row r="1243" spans="5:10" x14ac:dyDescent="0.2">
      <c r="E1243"/>
      <c r="F1243"/>
      <c r="G1243"/>
      <c r="I1243"/>
      <c r="J1243"/>
    </row>
    <row r="1244" spans="5:10" x14ac:dyDescent="0.2">
      <c r="E1244"/>
      <c r="F1244"/>
      <c r="G1244"/>
      <c r="I1244"/>
      <c r="J1244"/>
    </row>
    <row r="1245" spans="5:10" x14ac:dyDescent="0.2">
      <c r="E1245"/>
      <c r="F1245"/>
      <c r="G1245"/>
      <c r="I1245"/>
      <c r="J1245"/>
    </row>
    <row r="1246" spans="5:10" x14ac:dyDescent="0.2">
      <c r="E1246"/>
      <c r="F1246"/>
      <c r="G1246"/>
      <c r="I1246"/>
      <c r="J1246"/>
    </row>
    <row r="1247" spans="5:10" x14ac:dyDescent="0.2">
      <c r="E1247"/>
      <c r="F1247"/>
      <c r="G1247"/>
      <c r="I1247"/>
      <c r="J1247"/>
    </row>
    <row r="1248" spans="5:10" x14ac:dyDescent="0.2">
      <c r="E1248"/>
      <c r="F1248"/>
      <c r="G1248"/>
      <c r="I1248"/>
      <c r="J1248"/>
    </row>
    <row r="1249" spans="5:10" x14ac:dyDescent="0.2">
      <c r="E1249"/>
      <c r="F1249"/>
      <c r="G1249"/>
      <c r="I1249"/>
      <c r="J1249"/>
    </row>
    <row r="1250" spans="5:10" x14ac:dyDescent="0.2">
      <c r="E1250"/>
      <c r="F1250"/>
      <c r="G1250"/>
      <c r="I1250"/>
      <c r="J1250"/>
    </row>
    <row r="1251" spans="5:10" x14ac:dyDescent="0.2">
      <c r="E1251"/>
      <c r="F1251"/>
      <c r="G1251"/>
      <c r="I1251"/>
      <c r="J1251"/>
    </row>
    <row r="1252" spans="5:10" x14ac:dyDescent="0.2">
      <c r="E1252"/>
      <c r="F1252"/>
      <c r="G1252"/>
      <c r="I1252"/>
      <c r="J1252"/>
    </row>
    <row r="1253" spans="5:10" x14ac:dyDescent="0.2">
      <c r="E1253"/>
      <c r="F1253"/>
      <c r="G1253"/>
      <c r="I1253"/>
      <c r="J1253"/>
    </row>
    <row r="1254" spans="5:10" x14ac:dyDescent="0.2">
      <c r="E1254"/>
      <c r="F1254"/>
      <c r="G1254"/>
      <c r="I1254"/>
      <c r="J1254"/>
    </row>
    <row r="1255" spans="5:10" x14ac:dyDescent="0.2">
      <c r="E1255"/>
      <c r="F1255"/>
      <c r="G1255"/>
      <c r="I1255"/>
      <c r="J1255"/>
    </row>
    <row r="1256" spans="5:10" x14ac:dyDescent="0.2">
      <c r="E1256"/>
      <c r="F1256"/>
      <c r="G1256"/>
      <c r="I1256"/>
      <c r="J1256"/>
    </row>
    <row r="1257" spans="5:10" x14ac:dyDescent="0.2">
      <c r="E1257"/>
      <c r="F1257"/>
      <c r="G1257"/>
      <c r="I1257"/>
      <c r="J1257"/>
    </row>
    <row r="1258" spans="5:10" x14ac:dyDescent="0.2">
      <c r="E1258"/>
      <c r="F1258"/>
      <c r="G1258"/>
      <c r="I1258"/>
      <c r="J1258"/>
    </row>
    <row r="1259" spans="5:10" x14ac:dyDescent="0.2">
      <c r="E1259"/>
      <c r="F1259"/>
      <c r="G1259"/>
      <c r="I1259"/>
      <c r="J1259"/>
    </row>
    <row r="1260" spans="5:10" x14ac:dyDescent="0.2">
      <c r="E1260"/>
      <c r="F1260"/>
      <c r="G1260"/>
      <c r="I1260"/>
      <c r="J1260"/>
    </row>
    <row r="1261" spans="5:10" x14ac:dyDescent="0.2">
      <c r="E1261"/>
      <c r="F1261"/>
      <c r="G1261"/>
      <c r="I1261"/>
      <c r="J1261"/>
    </row>
    <row r="1262" spans="5:10" x14ac:dyDescent="0.2">
      <c r="E1262"/>
      <c r="F1262"/>
      <c r="G1262"/>
      <c r="I1262"/>
      <c r="J1262"/>
    </row>
    <row r="1263" spans="5:10" x14ac:dyDescent="0.2">
      <c r="E1263"/>
      <c r="F1263"/>
      <c r="G1263"/>
      <c r="I1263"/>
      <c r="J1263"/>
    </row>
    <row r="1264" spans="5:10" x14ac:dyDescent="0.2">
      <c r="E1264"/>
      <c r="F1264"/>
      <c r="G1264"/>
      <c r="I1264"/>
      <c r="J1264"/>
    </row>
    <row r="1265" spans="5:10" x14ac:dyDescent="0.2">
      <c r="E1265"/>
      <c r="F1265"/>
      <c r="G1265"/>
      <c r="I1265"/>
      <c r="J1265"/>
    </row>
    <row r="1266" spans="5:10" x14ac:dyDescent="0.2">
      <c r="E1266"/>
      <c r="F1266"/>
      <c r="G1266"/>
      <c r="I1266"/>
      <c r="J1266"/>
    </row>
    <row r="1267" spans="5:10" x14ac:dyDescent="0.2">
      <c r="E1267"/>
      <c r="F1267"/>
      <c r="G1267"/>
      <c r="I1267"/>
      <c r="J1267"/>
    </row>
    <row r="1268" spans="5:10" x14ac:dyDescent="0.2">
      <c r="E1268"/>
      <c r="F1268"/>
      <c r="G1268"/>
      <c r="I1268"/>
      <c r="J1268"/>
    </row>
    <row r="1269" spans="5:10" x14ac:dyDescent="0.2">
      <c r="E1269"/>
      <c r="F1269"/>
      <c r="G1269"/>
      <c r="I1269"/>
      <c r="J1269"/>
    </row>
    <row r="1270" spans="5:10" x14ac:dyDescent="0.2">
      <c r="E1270"/>
      <c r="F1270"/>
      <c r="G1270"/>
      <c r="I1270"/>
      <c r="J1270"/>
    </row>
    <row r="1271" spans="5:10" x14ac:dyDescent="0.2">
      <c r="E1271"/>
      <c r="F1271"/>
      <c r="G1271"/>
      <c r="I1271"/>
      <c r="J1271"/>
    </row>
    <row r="1272" spans="5:10" x14ac:dyDescent="0.2">
      <c r="E1272"/>
      <c r="F1272"/>
      <c r="G1272"/>
      <c r="I1272"/>
      <c r="J1272"/>
    </row>
    <row r="1273" spans="5:10" x14ac:dyDescent="0.2">
      <c r="E1273"/>
      <c r="F1273"/>
      <c r="G1273"/>
      <c r="I1273"/>
      <c r="J1273"/>
    </row>
    <row r="1274" spans="5:10" x14ac:dyDescent="0.2">
      <c r="E1274"/>
      <c r="F1274"/>
      <c r="G1274"/>
      <c r="I1274"/>
      <c r="J1274"/>
    </row>
    <row r="1275" spans="5:10" x14ac:dyDescent="0.2">
      <c r="E1275"/>
      <c r="F1275"/>
      <c r="G1275"/>
      <c r="I1275"/>
      <c r="J1275"/>
    </row>
    <row r="1276" spans="5:10" x14ac:dyDescent="0.2">
      <c r="E1276"/>
      <c r="F1276"/>
      <c r="G1276"/>
      <c r="I1276"/>
      <c r="J1276"/>
    </row>
    <row r="1277" spans="5:10" x14ac:dyDescent="0.2">
      <c r="E1277"/>
      <c r="F1277"/>
      <c r="G1277"/>
      <c r="I1277"/>
      <c r="J1277"/>
    </row>
    <row r="1278" spans="5:10" x14ac:dyDescent="0.2">
      <c r="E1278"/>
      <c r="F1278"/>
      <c r="G1278"/>
      <c r="I1278"/>
      <c r="J1278"/>
    </row>
    <row r="1279" spans="5:10" x14ac:dyDescent="0.2">
      <c r="E1279"/>
      <c r="F1279"/>
      <c r="G1279"/>
      <c r="I1279"/>
      <c r="J1279"/>
    </row>
    <row r="1280" spans="5:10" x14ac:dyDescent="0.2">
      <c r="E1280"/>
      <c r="F1280"/>
      <c r="G1280"/>
      <c r="I1280"/>
      <c r="J1280"/>
    </row>
    <row r="1281" spans="5:10" x14ac:dyDescent="0.2">
      <c r="E1281"/>
      <c r="F1281"/>
      <c r="G1281"/>
      <c r="I1281"/>
      <c r="J1281"/>
    </row>
    <row r="1282" spans="5:10" x14ac:dyDescent="0.2">
      <c r="E1282"/>
      <c r="F1282"/>
      <c r="G1282"/>
      <c r="I1282"/>
      <c r="J1282"/>
    </row>
    <row r="1283" spans="5:10" x14ac:dyDescent="0.2">
      <c r="E1283"/>
      <c r="F1283"/>
      <c r="G1283"/>
      <c r="I1283"/>
      <c r="J1283"/>
    </row>
    <row r="1284" spans="5:10" x14ac:dyDescent="0.2">
      <c r="E1284"/>
      <c r="F1284"/>
      <c r="G1284"/>
      <c r="I1284"/>
      <c r="J1284"/>
    </row>
    <row r="1285" spans="5:10" x14ac:dyDescent="0.2">
      <c r="E1285"/>
      <c r="F1285"/>
      <c r="G1285"/>
      <c r="I1285"/>
      <c r="J1285"/>
    </row>
    <row r="1286" spans="5:10" x14ac:dyDescent="0.2">
      <c r="E1286"/>
      <c r="F1286"/>
      <c r="G1286"/>
      <c r="I1286"/>
      <c r="J1286"/>
    </row>
    <row r="1287" spans="5:10" x14ac:dyDescent="0.2">
      <c r="E1287"/>
      <c r="F1287"/>
      <c r="G1287"/>
      <c r="I1287"/>
      <c r="J1287"/>
    </row>
    <row r="1288" spans="5:10" x14ac:dyDescent="0.2">
      <c r="E1288"/>
      <c r="F1288"/>
      <c r="G1288"/>
      <c r="I1288"/>
      <c r="J1288"/>
    </row>
    <row r="1289" spans="5:10" x14ac:dyDescent="0.2">
      <c r="E1289"/>
      <c r="F1289"/>
      <c r="G1289"/>
      <c r="I1289"/>
      <c r="J1289"/>
    </row>
    <row r="1290" spans="5:10" x14ac:dyDescent="0.2">
      <c r="E1290"/>
      <c r="F1290"/>
      <c r="G1290"/>
      <c r="I1290"/>
      <c r="J1290"/>
    </row>
    <row r="1291" spans="5:10" x14ac:dyDescent="0.2">
      <c r="E1291"/>
      <c r="F1291"/>
      <c r="G1291"/>
      <c r="I1291"/>
      <c r="J1291"/>
    </row>
    <row r="1292" spans="5:10" x14ac:dyDescent="0.2">
      <c r="E1292"/>
      <c r="F1292"/>
      <c r="G1292"/>
      <c r="I1292"/>
      <c r="J1292"/>
    </row>
    <row r="1293" spans="5:10" x14ac:dyDescent="0.2">
      <c r="E1293"/>
      <c r="F1293"/>
      <c r="G1293"/>
      <c r="I1293"/>
      <c r="J1293"/>
    </row>
    <row r="1294" spans="5:10" x14ac:dyDescent="0.2">
      <c r="E1294"/>
      <c r="F1294"/>
      <c r="G1294"/>
      <c r="I1294"/>
      <c r="J1294"/>
    </row>
    <row r="1295" spans="5:10" x14ac:dyDescent="0.2">
      <c r="E1295"/>
      <c r="F1295"/>
      <c r="G1295"/>
      <c r="I1295"/>
      <c r="J1295"/>
    </row>
    <row r="1296" spans="5:10" x14ac:dyDescent="0.2">
      <c r="E1296"/>
      <c r="F1296"/>
      <c r="G1296"/>
      <c r="I1296"/>
      <c r="J1296"/>
    </row>
    <row r="1297" spans="5:10" x14ac:dyDescent="0.2">
      <c r="E1297"/>
      <c r="F1297"/>
      <c r="G1297"/>
      <c r="I1297"/>
      <c r="J1297"/>
    </row>
    <row r="1298" spans="5:10" x14ac:dyDescent="0.2">
      <c r="E1298"/>
      <c r="F1298"/>
      <c r="G1298"/>
      <c r="I1298"/>
      <c r="J1298"/>
    </row>
    <row r="1299" spans="5:10" x14ac:dyDescent="0.2">
      <c r="E1299"/>
      <c r="F1299"/>
      <c r="G1299"/>
      <c r="I1299"/>
      <c r="J1299"/>
    </row>
    <row r="1300" spans="5:10" x14ac:dyDescent="0.2">
      <c r="E1300"/>
      <c r="F1300"/>
      <c r="G1300"/>
      <c r="I1300"/>
      <c r="J1300"/>
    </row>
    <row r="1301" spans="5:10" x14ac:dyDescent="0.2">
      <c r="E1301"/>
      <c r="F1301"/>
      <c r="G1301"/>
      <c r="I1301"/>
      <c r="J1301"/>
    </row>
    <row r="1302" spans="5:10" x14ac:dyDescent="0.2">
      <c r="E1302"/>
      <c r="F1302"/>
      <c r="G1302"/>
      <c r="I1302"/>
      <c r="J1302"/>
    </row>
    <row r="1303" spans="5:10" x14ac:dyDescent="0.2">
      <c r="E1303"/>
      <c r="F1303"/>
      <c r="G1303"/>
      <c r="I1303"/>
      <c r="J1303"/>
    </row>
    <row r="1304" spans="5:10" x14ac:dyDescent="0.2">
      <c r="E1304"/>
      <c r="F1304"/>
      <c r="G1304"/>
      <c r="I1304"/>
      <c r="J1304"/>
    </row>
    <row r="1305" spans="5:10" x14ac:dyDescent="0.2">
      <c r="E1305"/>
      <c r="F1305"/>
      <c r="G1305"/>
      <c r="I1305"/>
      <c r="J1305"/>
    </row>
    <row r="1306" spans="5:10" x14ac:dyDescent="0.2">
      <c r="E1306"/>
      <c r="F1306"/>
      <c r="G1306"/>
      <c r="I1306"/>
      <c r="J1306"/>
    </row>
    <row r="1307" spans="5:10" x14ac:dyDescent="0.2">
      <c r="E1307"/>
      <c r="F1307"/>
      <c r="G1307"/>
      <c r="I1307"/>
      <c r="J1307"/>
    </row>
    <row r="1308" spans="5:10" x14ac:dyDescent="0.2">
      <c r="E1308"/>
      <c r="F1308"/>
      <c r="G1308"/>
      <c r="I1308"/>
      <c r="J1308"/>
    </row>
    <row r="1309" spans="5:10" x14ac:dyDescent="0.2">
      <c r="E1309"/>
      <c r="F1309"/>
      <c r="G1309"/>
      <c r="I1309"/>
      <c r="J1309"/>
    </row>
    <row r="1310" spans="5:10" x14ac:dyDescent="0.2">
      <c r="E1310"/>
      <c r="F1310"/>
      <c r="G1310"/>
      <c r="I1310"/>
      <c r="J1310"/>
    </row>
    <row r="1311" spans="5:10" x14ac:dyDescent="0.2">
      <c r="E1311"/>
      <c r="F1311"/>
      <c r="G1311"/>
      <c r="I1311"/>
      <c r="J1311"/>
    </row>
    <row r="1312" spans="5:10" x14ac:dyDescent="0.2">
      <c r="E1312"/>
      <c r="F1312"/>
      <c r="G1312"/>
      <c r="I1312"/>
      <c r="J1312"/>
    </row>
    <row r="1313" spans="5:10" x14ac:dyDescent="0.2">
      <c r="E1313"/>
      <c r="F1313"/>
      <c r="G1313"/>
      <c r="I1313"/>
      <c r="J1313"/>
    </row>
    <row r="1314" spans="5:10" x14ac:dyDescent="0.2">
      <c r="E1314"/>
      <c r="F1314"/>
      <c r="G1314"/>
      <c r="I1314"/>
      <c r="J1314"/>
    </row>
    <row r="1315" spans="5:10" x14ac:dyDescent="0.2">
      <c r="E1315"/>
      <c r="F1315"/>
      <c r="G1315"/>
      <c r="I1315"/>
      <c r="J1315"/>
    </row>
    <row r="1316" spans="5:10" x14ac:dyDescent="0.2">
      <c r="E1316"/>
      <c r="F1316"/>
      <c r="G1316"/>
      <c r="I1316"/>
      <c r="J1316"/>
    </row>
    <row r="1317" spans="5:10" x14ac:dyDescent="0.2">
      <c r="E1317"/>
      <c r="F1317"/>
      <c r="G1317"/>
      <c r="I1317"/>
      <c r="J1317"/>
    </row>
    <row r="1318" spans="5:10" x14ac:dyDescent="0.2">
      <c r="E1318"/>
      <c r="F1318"/>
      <c r="G1318"/>
      <c r="I1318"/>
      <c r="J1318"/>
    </row>
    <row r="1319" spans="5:10" x14ac:dyDescent="0.2">
      <c r="E1319"/>
      <c r="F1319"/>
      <c r="G1319"/>
      <c r="I1319"/>
      <c r="J1319"/>
    </row>
    <row r="1320" spans="5:10" x14ac:dyDescent="0.2">
      <c r="E1320"/>
      <c r="F1320"/>
      <c r="G1320"/>
      <c r="I1320"/>
      <c r="J1320"/>
    </row>
    <row r="1321" spans="5:10" x14ac:dyDescent="0.2">
      <c r="E1321"/>
      <c r="F1321"/>
      <c r="G1321"/>
      <c r="I1321"/>
      <c r="J1321"/>
    </row>
    <row r="1322" spans="5:10" x14ac:dyDescent="0.2">
      <c r="E1322"/>
      <c r="F1322"/>
      <c r="G1322"/>
      <c r="I1322"/>
      <c r="J1322"/>
    </row>
    <row r="1323" spans="5:10" x14ac:dyDescent="0.2">
      <c r="E1323"/>
      <c r="F1323"/>
      <c r="G1323"/>
      <c r="I1323"/>
      <c r="J1323"/>
    </row>
    <row r="1324" spans="5:10" x14ac:dyDescent="0.2">
      <c r="E1324"/>
      <c r="F1324"/>
      <c r="G1324"/>
      <c r="I1324"/>
      <c r="J1324"/>
    </row>
    <row r="1325" spans="5:10" x14ac:dyDescent="0.2">
      <c r="E1325"/>
      <c r="F1325"/>
      <c r="G1325"/>
      <c r="I1325"/>
      <c r="J1325"/>
    </row>
    <row r="1326" spans="5:10" x14ac:dyDescent="0.2">
      <c r="E1326"/>
      <c r="F1326"/>
      <c r="G1326"/>
      <c r="I1326"/>
      <c r="J1326"/>
    </row>
    <row r="1327" spans="5:10" x14ac:dyDescent="0.2">
      <c r="E1327"/>
      <c r="F1327"/>
      <c r="G1327"/>
      <c r="I1327"/>
      <c r="J1327"/>
    </row>
    <row r="1328" spans="5:10" x14ac:dyDescent="0.2">
      <c r="E1328"/>
      <c r="F1328"/>
      <c r="G1328"/>
      <c r="I1328"/>
      <c r="J1328"/>
    </row>
    <row r="1329" spans="5:10" x14ac:dyDescent="0.2">
      <c r="E1329"/>
      <c r="F1329"/>
      <c r="G1329"/>
      <c r="I1329"/>
      <c r="J1329"/>
    </row>
    <row r="1330" spans="5:10" x14ac:dyDescent="0.2">
      <c r="E1330"/>
      <c r="F1330"/>
      <c r="G1330"/>
      <c r="I1330"/>
      <c r="J1330"/>
    </row>
    <row r="1331" spans="5:10" x14ac:dyDescent="0.2">
      <c r="E1331"/>
      <c r="F1331"/>
      <c r="G1331"/>
      <c r="I1331"/>
      <c r="J1331"/>
    </row>
    <row r="1332" spans="5:10" x14ac:dyDescent="0.2">
      <c r="E1332"/>
      <c r="F1332"/>
      <c r="G1332"/>
      <c r="I1332"/>
      <c r="J1332"/>
    </row>
    <row r="1333" spans="5:10" x14ac:dyDescent="0.2">
      <c r="E1333"/>
      <c r="F1333"/>
      <c r="G1333"/>
      <c r="I1333"/>
      <c r="J1333"/>
    </row>
    <row r="1334" spans="5:10" x14ac:dyDescent="0.2">
      <c r="E1334"/>
      <c r="F1334"/>
      <c r="G1334"/>
      <c r="I1334"/>
      <c r="J1334"/>
    </row>
    <row r="1335" spans="5:10" x14ac:dyDescent="0.2">
      <c r="E1335"/>
      <c r="F1335"/>
      <c r="G1335"/>
      <c r="I1335"/>
      <c r="J1335"/>
    </row>
    <row r="1336" spans="5:10" x14ac:dyDescent="0.2">
      <c r="E1336"/>
      <c r="F1336"/>
      <c r="G1336"/>
      <c r="I1336"/>
      <c r="J1336"/>
    </row>
    <row r="1337" spans="5:10" x14ac:dyDescent="0.2">
      <c r="E1337"/>
      <c r="F1337"/>
      <c r="G1337"/>
      <c r="I1337"/>
      <c r="J1337"/>
    </row>
    <row r="1338" spans="5:10" x14ac:dyDescent="0.2">
      <c r="E1338"/>
      <c r="F1338"/>
      <c r="G1338"/>
      <c r="I1338"/>
      <c r="J1338"/>
    </row>
    <row r="1339" spans="5:10" x14ac:dyDescent="0.2">
      <c r="E1339"/>
      <c r="F1339"/>
      <c r="G1339"/>
      <c r="I1339"/>
      <c r="J1339"/>
    </row>
    <row r="1340" spans="5:10" x14ac:dyDescent="0.2">
      <c r="E1340"/>
      <c r="F1340"/>
      <c r="G1340"/>
      <c r="I1340"/>
      <c r="J1340"/>
    </row>
    <row r="1341" spans="5:10" x14ac:dyDescent="0.2">
      <c r="E1341"/>
      <c r="F1341"/>
      <c r="G1341"/>
      <c r="I1341"/>
      <c r="J1341"/>
    </row>
    <row r="1342" spans="5:10" x14ac:dyDescent="0.2">
      <c r="E1342"/>
      <c r="F1342"/>
      <c r="G1342"/>
      <c r="I1342"/>
      <c r="J1342"/>
    </row>
    <row r="1343" spans="5:10" x14ac:dyDescent="0.2">
      <c r="E1343"/>
      <c r="F1343"/>
      <c r="G1343"/>
      <c r="I1343"/>
      <c r="J1343"/>
    </row>
    <row r="1344" spans="5:10" x14ac:dyDescent="0.2">
      <c r="E1344"/>
      <c r="F1344"/>
      <c r="G1344"/>
      <c r="I1344"/>
      <c r="J1344"/>
    </row>
    <row r="1345" spans="5:10" x14ac:dyDescent="0.2">
      <c r="E1345"/>
      <c r="F1345"/>
      <c r="G1345"/>
      <c r="I1345"/>
      <c r="J1345"/>
    </row>
    <row r="1346" spans="5:10" x14ac:dyDescent="0.2">
      <c r="E1346"/>
      <c r="F1346"/>
      <c r="G1346"/>
      <c r="I1346"/>
      <c r="J1346"/>
    </row>
    <row r="1347" spans="5:10" x14ac:dyDescent="0.2">
      <c r="E1347"/>
      <c r="F1347"/>
      <c r="G1347"/>
      <c r="I1347"/>
      <c r="J1347"/>
    </row>
    <row r="1348" spans="5:10" x14ac:dyDescent="0.2">
      <c r="E1348"/>
      <c r="F1348"/>
      <c r="G1348"/>
      <c r="I1348"/>
      <c r="J1348"/>
    </row>
    <row r="1349" spans="5:10" x14ac:dyDescent="0.2">
      <c r="E1349"/>
      <c r="F1349"/>
      <c r="G1349"/>
      <c r="I1349"/>
      <c r="J1349"/>
    </row>
    <row r="1350" spans="5:10" x14ac:dyDescent="0.2">
      <c r="E1350"/>
      <c r="F1350"/>
      <c r="G1350"/>
      <c r="I1350"/>
      <c r="J1350"/>
    </row>
    <row r="1351" spans="5:10" x14ac:dyDescent="0.2">
      <c r="E1351"/>
      <c r="F1351"/>
      <c r="G1351"/>
      <c r="I1351"/>
      <c r="J1351"/>
    </row>
    <row r="1352" spans="5:10" x14ac:dyDescent="0.2">
      <c r="E1352"/>
      <c r="F1352"/>
      <c r="G1352"/>
      <c r="I1352"/>
      <c r="J1352"/>
    </row>
    <row r="1353" spans="5:10" x14ac:dyDescent="0.2">
      <c r="E1353"/>
      <c r="F1353"/>
      <c r="G1353"/>
      <c r="I1353"/>
      <c r="J1353"/>
    </row>
    <row r="1354" spans="5:10" x14ac:dyDescent="0.2">
      <c r="E1354"/>
      <c r="F1354"/>
      <c r="G1354"/>
      <c r="I1354"/>
      <c r="J1354"/>
    </row>
    <row r="1355" spans="5:10" x14ac:dyDescent="0.2">
      <c r="E1355"/>
      <c r="F1355"/>
      <c r="G1355"/>
      <c r="I1355"/>
      <c r="J1355"/>
    </row>
    <row r="1356" spans="5:10" x14ac:dyDescent="0.2">
      <c r="E1356"/>
      <c r="F1356"/>
      <c r="G1356"/>
      <c r="I1356"/>
      <c r="J1356"/>
    </row>
    <row r="1357" spans="5:10" x14ac:dyDescent="0.2">
      <c r="E1357"/>
      <c r="F1357"/>
      <c r="G1357"/>
      <c r="I1357"/>
      <c r="J1357"/>
    </row>
    <row r="1358" spans="5:10" x14ac:dyDescent="0.2">
      <c r="E1358"/>
      <c r="F1358"/>
      <c r="G1358"/>
      <c r="I1358"/>
      <c r="J1358"/>
    </row>
    <row r="1359" spans="5:10" x14ac:dyDescent="0.2">
      <c r="E1359"/>
      <c r="F1359"/>
      <c r="G1359"/>
      <c r="I1359"/>
      <c r="J1359"/>
    </row>
    <row r="1360" spans="5:10" x14ac:dyDescent="0.2">
      <c r="E1360"/>
      <c r="F1360"/>
      <c r="G1360"/>
      <c r="I1360"/>
      <c r="J1360"/>
    </row>
    <row r="1361" spans="5:10" x14ac:dyDescent="0.2">
      <c r="E1361"/>
      <c r="F1361"/>
      <c r="G1361"/>
      <c r="I1361"/>
      <c r="J1361"/>
    </row>
    <row r="1362" spans="5:10" x14ac:dyDescent="0.2">
      <c r="E1362"/>
      <c r="F1362"/>
      <c r="G1362"/>
      <c r="I1362"/>
      <c r="J1362"/>
    </row>
    <row r="1363" spans="5:10" x14ac:dyDescent="0.2">
      <c r="E1363"/>
      <c r="F1363"/>
      <c r="G1363"/>
      <c r="I1363"/>
      <c r="J1363"/>
    </row>
    <row r="1364" spans="5:10" x14ac:dyDescent="0.2">
      <c r="E1364"/>
      <c r="F1364"/>
      <c r="G1364"/>
      <c r="I1364"/>
      <c r="J1364"/>
    </row>
    <row r="1365" spans="5:10" x14ac:dyDescent="0.2">
      <c r="E1365"/>
      <c r="F1365"/>
      <c r="G1365"/>
      <c r="I1365"/>
      <c r="J1365"/>
    </row>
    <row r="1366" spans="5:10" x14ac:dyDescent="0.2">
      <c r="E1366"/>
      <c r="F1366"/>
      <c r="G1366"/>
      <c r="I1366"/>
      <c r="J1366"/>
    </row>
    <row r="1367" spans="5:10" x14ac:dyDescent="0.2">
      <c r="E1367"/>
      <c r="F1367"/>
      <c r="G1367"/>
      <c r="I1367"/>
      <c r="J1367"/>
    </row>
    <row r="1368" spans="5:10" x14ac:dyDescent="0.2">
      <c r="E1368"/>
      <c r="F1368"/>
      <c r="G1368"/>
      <c r="I1368"/>
      <c r="J1368"/>
    </row>
    <row r="1369" spans="5:10" x14ac:dyDescent="0.2">
      <c r="E1369"/>
      <c r="F1369"/>
      <c r="G1369"/>
      <c r="I1369"/>
      <c r="J1369"/>
    </row>
    <row r="1370" spans="5:10" x14ac:dyDescent="0.2">
      <c r="E1370"/>
      <c r="F1370"/>
      <c r="G1370"/>
      <c r="I1370"/>
      <c r="J1370"/>
    </row>
    <row r="1371" spans="5:10" x14ac:dyDescent="0.2">
      <c r="E1371"/>
      <c r="F1371"/>
      <c r="G1371"/>
      <c r="I1371"/>
      <c r="J1371"/>
    </row>
    <row r="1372" spans="5:10" x14ac:dyDescent="0.2">
      <c r="E1372"/>
      <c r="F1372"/>
      <c r="G1372"/>
      <c r="I1372"/>
      <c r="J1372"/>
    </row>
    <row r="1373" spans="5:10" x14ac:dyDescent="0.2">
      <c r="E1373"/>
      <c r="F1373"/>
      <c r="G1373"/>
      <c r="I1373"/>
      <c r="J1373"/>
    </row>
    <row r="1374" spans="5:10" x14ac:dyDescent="0.2">
      <c r="E1374"/>
      <c r="F1374"/>
      <c r="G1374"/>
      <c r="I1374"/>
      <c r="J1374"/>
    </row>
    <row r="1375" spans="5:10" x14ac:dyDescent="0.2">
      <c r="E1375"/>
      <c r="F1375"/>
      <c r="G1375"/>
      <c r="I1375"/>
      <c r="J1375"/>
    </row>
    <row r="1376" spans="5:10" x14ac:dyDescent="0.2">
      <c r="E1376"/>
      <c r="F1376"/>
      <c r="G1376"/>
      <c r="I1376"/>
      <c r="J1376"/>
    </row>
    <row r="1377" spans="5:10" x14ac:dyDescent="0.2">
      <c r="E1377"/>
      <c r="F1377"/>
      <c r="G1377"/>
      <c r="I1377"/>
      <c r="J1377"/>
    </row>
    <row r="1378" spans="5:10" x14ac:dyDescent="0.2">
      <c r="E1378"/>
      <c r="F1378"/>
      <c r="G1378"/>
      <c r="I1378"/>
      <c r="J1378"/>
    </row>
    <row r="1379" spans="5:10" x14ac:dyDescent="0.2">
      <c r="E1379"/>
      <c r="F1379"/>
      <c r="G1379"/>
      <c r="I1379"/>
      <c r="J1379"/>
    </row>
    <row r="1380" spans="5:10" x14ac:dyDescent="0.2">
      <c r="E1380"/>
      <c r="F1380"/>
      <c r="G1380"/>
      <c r="I1380"/>
      <c r="J1380"/>
    </row>
    <row r="1381" spans="5:10" x14ac:dyDescent="0.2">
      <c r="E1381"/>
      <c r="F1381"/>
      <c r="G1381"/>
      <c r="I1381"/>
      <c r="J1381"/>
    </row>
    <row r="1382" spans="5:10" x14ac:dyDescent="0.2">
      <c r="E1382"/>
      <c r="F1382"/>
      <c r="G1382"/>
      <c r="I1382"/>
      <c r="J1382"/>
    </row>
    <row r="1383" spans="5:10" x14ac:dyDescent="0.2">
      <c r="E1383"/>
      <c r="F1383"/>
      <c r="G1383"/>
      <c r="I1383"/>
      <c r="J1383"/>
    </row>
    <row r="1384" spans="5:10" x14ac:dyDescent="0.2">
      <c r="E1384"/>
      <c r="F1384"/>
      <c r="G1384"/>
      <c r="I1384"/>
      <c r="J1384"/>
    </row>
    <row r="1385" spans="5:10" x14ac:dyDescent="0.2">
      <c r="E1385"/>
      <c r="F1385"/>
      <c r="G1385"/>
      <c r="I1385"/>
      <c r="J1385"/>
    </row>
    <row r="1386" spans="5:10" x14ac:dyDescent="0.2">
      <c r="E1386"/>
      <c r="F1386"/>
      <c r="G1386"/>
      <c r="I1386"/>
      <c r="J1386"/>
    </row>
    <row r="1387" spans="5:10" x14ac:dyDescent="0.2">
      <c r="E1387"/>
      <c r="F1387"/>
      <c r="G1387"/>
      <c r="I1387"/>
      <c r="J1387"/>
    </row>
    <row r="1388" spans="5:10" x14ac:dyDescent="0.2">
      <c r="E1388"/>
      <c r="F1388"/>
      <c r="G1388"/>
      <c r="I1388"/>
      <c r="J1388"/>
    </row>
    <row r="1389" spans="5:10" x14ac:dyDescent="0.2">
      <c r="E1389"/>
      <c r="F1389"/>
      <c r="G1389"/>
      <c r="I1389"/>
      <c r="J1389"/>
    </row>
    <row r="1390" spans="5:10" x14ac:dyDescent="0.2">
      <c r="E1390"/>
      <c r="F1390"/>
      <c r="G1390"/>
      <c r="I1390"/>
      <c r="J1390"/>
    </row>
    <row r="1391" spans="5:10" x14ac:dyDescent="0.2">
      <c r="E1391"/>
      <c r="F1391"/>
      <c r="G1391"/>
      <c r="I1391"/>
      <c r="J1391"/>
    </row>
    <row r="1392" spans="5:10" x14ac:dyDescent="0.2">
      <c r="E1392"/>
      <c r="F1392"/>
      <c r="G1392"/>
      <c r="I1392"/>
      <c r="J1392"/>
    </row>
    <row r="1393" spans="5:10" x14ac:dyDescent="0.2">
      <c r="E1393"/>
      <c r="F1393"/>
      <c r="G1393"/>
      <c r="I1393"/>
      <c r="J1393"/>
    </row>
    <row r="1394" spans="5:10" x14ac:dyDescent="0.2">
      <c r="E1394"/>
      <c r="F1394"/>
      <c r="G1394"/>
      <c r="I1394"/>
      <c r="J1394"/>
    </row>
    <row r="1395" spans="5:10" x14ac:dyDescent="0.2">
      <c r="E1395"/>
      <c r="F1395"/>
      <c r="G1395"/>
      <c r="I1395"/>
      <c r="J1395"/>
    </row>
    <row r="1396" spans="5:10" x14ac:dyDescent="0.2">
      <c r="E1396"/>
      <c r="F1396"/>
      <c r="G1396"/>
      <c r="I1396"/>
      <c r="J1396"/>
    </row>
    <row r="1397" spans="5:10" x14ac:dyDescent="0.2">
      <c r="E1397"/>
      <c r="F1397"/>
      <c r="G1397"/>
      <c r="I1397"/>
      <c r="J1397"/>
    </row>
    <row r="1398" spans="5:10" x14ac:dyDescent="0.2">
      <c r="E1398"/>
      <c r="F1398"/>
      <c r="G1398"/>
      <c r="I1398"/>
      <c r="J1398"/>
    </row>
    <row r="1399" spans="5:10" x14ac:dyDescent="0.2">
      <c r="E1399"/>
      <c r="F1399"/>
      <c r="G1399"/>
      <c r="I1399"/>
      <c r="J1399"/>
    </row>
    <row r="1400" spans="5:10" x14ac:dyDescent="0.2">
      <c r="E1400"/>
      <c r="F1400"/>
      <c r="G1400"/>
      <c r="I1400"/>
      <c r="J1400"/>
    </row>
    <row r="1401" spans="5:10" x14ac:dyDescent="0.2">
      <c r="E1401"/>
      <c r="F1401"/>
      <c r="G1401"/>
      <c r="I1401"/>
      <c r="J1401"/>
    </row>
    <row r="1402" spans="5:10" x14ac:dyDescent="0.2">
      <c r="E1402"/>
      <c r="F1402"/>
      <c r="G1402"/>
      <c r="I1402"/>
      <c r="J1402"/>
    </row>
    <row r="1403" spans="5:10" x14ac:dyDescent="0.2">
      <c r="E1403"/>
      <c r="F1403"/>
      <c r="G1403"/>
      <c r="I1403"/>
      <c r="J1403"/>
    </row>
    <row r="1404" spans="5:10" x14ac:dyDescent="0.2">
      <c r="E1404"/>
      <c r="F1404"/>
      <c r="G1404"/>
      <c r="I1404"/>
      <c r="J1404"/>
    </row>
    <row r="1405" spans="5:10" x14ac:dyDescent="0.2">
      <c r="E1405"/>
      <c r="F1405"/>
      <c r="G1405"/>
      <c r="I1405"/>
      <c r="J1405"/>
    </row>
    <row r="1406" spans="5:10" x14ac:dyDescent="0.2">
      <c r="E1406"/>
      <c r="F1406"/>
      <c r="G1406"/>
      <c r="I1406"/>
      <c r="J1406"/>
    </row>
    <row r="1407" spans="5:10" x14ac:dyDescent="0.2">
      <c r="E1407"/>
      <c r="F1407"/>
      <c r="G1407"/>
      <c r="I1407"/>
      <c r="J1407"/>
    </row>
    <row r="1408" spans="5:10" x14ac:dyDescent="0.2">
      <c r="E1408"/>
      <c r="F1408"/>
      <c r="G1408"/>
      <c r="I1408"/>
      <c r="J1408"/>
    </row>
    <row r="1409" spans="5:10" x14ac:dyDescent="0.2">
      <c r="E1409"/>
      <c r="F1409"/>
      <c r="G1409"/>
      <c r="I1409"/>
      <c r="J1409"/>
    </row>
    <row r="1410" spans="5:10" x14ac:dyDescent="0.2">
      <c r="E1410"/>
      <c r="F1410"/>
      <c r="G1410"/>
      <c r="I1410"/>
      <c r="J1410"/>
    </row>
    <row r="1411" spans="5:10" x14ac:dyDescent="0.2">
      <c r="E1411"/>
      <c r="F1411"/>
      <c r="G1411"/>
      <c r="I1411"/>
      <c r="J1411"/>
    </row>
    <row r="1412" spans="5:10" x14ac:dyDescent="0.2">
      <c r="E1412"/>
      <c r="F1412"/>
      <c r="G1412"/>
      <c r="I1412"/>
      <c r="J1412"/>
    </row>
    <row r="1413" spans="5:10" x14ac:dyDescent="0.2">
      <c r="E1413"/>
      <c r="F1413"/>
      <c r="G1413"/>
      <c r="I1413"/>
      <c r="J1413"/>
    </row>
    <row r="1414" spans="5:10" x14ac:dyDescent="0.2">
      <c r="E1414"/>
      <c r="F1414"/>
      <c r="G1414"/>
      <c r="I1414"/>
      <c r="J1414"/>
    </row>
    <row r="1415" spans="5:10" x14ac:dyDescent="0.2">
      <c r="E1415"/>
      <c r="F1415"/>
      <c r="G1415"/>
      <c r="I1415"/>
      <c r="J1415"/>
    </row>
    <row r="1416" spans="5:10" x14ac:dyDescent="0.2">
      <c r="E1416"/>
      <c r="F1416"/>
      <c r="G1416"/>
      <c r="I1416"/>
      <c r="J1416"/>
    </row>
    <row r="1417" spans="5:10" x14ac:dyDescent="0.2">
      <c r="E1417"/>
      <c r="F1417"/>
      <c r="G1417"/>
      <c r="I1417"/>
      <c r="J1417"/>
    </row>
    <row r="1418" spans="5:10" x14ac:dyDescent="0.2">
      <c r="E1418"/>
      <c r="F1418"/>
      <c r="G1418"/>
      <c r="I1418"/>
      <c r="J1418"/>
    </row>
    <row r="1419" spans="5:10" x14ac:dyDescent="0.2">
      <c r="E1419"/>
      <c r="F1419"/>
      <c r="G1419"/>
      <c r="I1419"/>
      <c r="J1419"/>
    </row>
    <row r="1420" spans="5:10" x14ac:dyDescent="0.2">
      <c r="E1420"/>
      <c r="F1420"/>
      <c r="G1420"/>
      <c r="I1420"/>
      <c r="J1420"/>
    </row>
    <row r="1421" spans="5:10" x14ac:dyDescent="0.2">
      <c r="E1421"/>
      <c r="F1421"/>
      <c r="G1421"/>
      <c r="I1421"/>
      <c r="J1421"/>
    </row>
    <row r="1422" spans="5:10" x14ac:dyDescent="0.2">
      <c r="E1422"/>
      <c r="F1422"/>
      <c r="G1422"/>
      <c r="I1422"/>
      <c r="J1422"/>
    </row>
    <row r="1423" spans="5:10" x14ac:dyDescent="0.2">
      <c r="E1423"/>
      <c r="F1423"/>
      <c r="G1423"/>
      <c r="I1423"/>
      <c r="J1423"/>
    </row>
    <row r="1424" spans="5:10" x14ac:dyDescent="0.2">
      <c r="E1424"/>
      <c r="F1424"/>
      <c r="G1424"/>
      <c r="I1424"/>
      <c r="J1424"/>
    </row>
    <row r="1425" spans="5:10" x14ac:dyDescent="0.2">
      <c r="E1425"/>
      <c r="F1425"/>
      <c r="G1425"/>
      <c r="I1425"/>
      <c r="J1425"/>
    </row>
    <row r="1426" spans="5:10" x14ac:dyDescent="0.2">
      <c r="E1426"/>
      <c r="F1426"/>
      <c r="G1426"/>
      <c r="I1426"/>
      <c r="J1426"/>
    </row>
    <row r="1427" spans="5:10" x14ac:dyDescent="0.2">
      <c r="E1427"/>
      <c r="F1427"/>
      <c r="G1427"/>
      <c r="I1427"/>
      <c r="J1427"/>
    </row>
    <row r="1428" spans="5:10" x14ac:dyDescent="0.2">
      <c r="E1428"/>
      <c r="F1428"/>
      <c r="G1428"/>
      <c r="I1428"/>
      <c r="J1428"/>
    </row>
    <row r="1429" spans="5:10" x14ac:dyDescent="0.2">
      <c r="E1429"/>
      <c r="F1429"/>
      <c r="G1429"/>
      <c r="I1429"/>
      <c r="J1429"/>
    </row>
    <row r="1430" spans="5:10" x14ac:dyDescent="0.2">
      <c r="E1430"/>
      <c r="F1430"/>
      <c r="G1430"/>
      <c r="I1430"/>
      <c r="J1430"/>
    </row>
    <row r="1431" spans="5:10" x14ac:dyDescent="0.2">
      <c r="E1431"/>
      <c r="F1431"/>
      <c r="G1431"/>
      <c r="I1431"/>
      <c r="J1431"/>
    </row>
    <row r="1432" spans="5:10" x14ac:dyDescent="0.2">
      <c r="E1432"/>
      <c r="F1432"/>
      <c r="G1432"/>
      <c r="I1432"/>
      <c r="J1432"/>
    </row>
    <row r="1433" spans="5:10" x14ac:dyDescent="0.2">
      <c r="E1433"/>
      <c r="F1433"/>
      <c r="G1433"/>
      <c r="I1433"/>
      <c r="J1433"/>
    </row>
    <row r="1434" spans="5:10" x14ac:dyDescent="0.2">
      <c r="E1434"/>
      <c r="F1434"/>
      <c r="G1434"/>
      <c r="I1434"/>
      <c r="J1434"/>
    </row>
    <row r="1435" spans="5:10" x14ac:dyDescent="0.2">
      <c r="E1435"/>
      <c r="F1435"/>
      <c r="G1435"/>
      <c r="I1435"/>
      <c r="J1435"/>
    </row>
    <row r="1436" spans="5:10" x14ac:dyDescent="0.2">
      <c r="E1436"/>
      <c r="F1436"/>
      <c r="G1436"/>
      <c r="I1436"/>
      <c r="J1436"/>
    </row>
    <row r="1437" spans="5:10" x14ac:dyDescent="0.2">
      <c r="E1437"/>
      <c r="F1437"/>
      <c r="G1437"/>
      <c r="I1437"/>
      <c r="J1437"/>
    </row>
    <row r="1438" spans="5:10" x14ac:dyDescent="0.2">
      <c r="E1438"/>
      <c r="F1438"/>
      <c r="G1438"/>
      <c r="I1438"/>
      <c r="J1438"/>
    </row>
    <row r="1439" spans="5:10" x14ac:dyDescent="0.2">
      <c r="E1439"/>
      <c r="F1439"/>
      <c r="G1439"/>
      <c r="I1439"/>
      <c r="J1439"/>
    </row>
    <row r="1440" spans="5:10" x14ac:dyDescent="0.2">
      <c r="E1440"/>
      <c r="F1440"/>
      <c r="G1440"/>
      <c r="I1440"/>
      <c r="J1440"/>
    </row>
    <row r="1441" spans="5:10" x14ac:dyDescent="0.2">
      <c r="E1441"/>
      <c r="F1441"/>
      <c r="G1441"/>
      <c r="I1441"/>
      <c r="J1441"/>
    </row>
    <row r="1442" spans="5:10" x14ac:dyDescent="0.2">
      <c r="E1442"/>
      <c r="F1442"/>
      <c r="G1442"/>
      <c r="I1442"/>
      <c r="J1442"/>
    </row>
    <row r="1443" spans="5:10" x14ac:dyDescent="0.2">
      <c r="E1443"/>
      <c r="F1443"/>
      <c r="G1443"/>
      <c r="I1443"/>
      <c r="J1443"/>
    </row>
    <row r="1444" spans="5:10" x14ac:dyDescent="0.2">
      <c r="E1444"/>
      <c r="F1444"/>
      <c r="G1444"/>
      <c r="I1444"/>
      <c r="J1444"/>
    </row>
    <row r="1445" spans="5:10" x14ac:dyDescent="0.2">
      <c r="E1445"/>
      <c r="F1445"/>
      <c r="G1445"/>
      <c r="I1445"/>
      <c r="J1445"/>
    </row>
    <row r="1446" spans="5:10" x14ac:dyDescent="0.2">
      <c r="E1446"/>
      <c r="F1446"/>
      <c r="G1446"/>
      <c r="I1446"/>
      <c r="J1446"/>
    </row>
    <row r="1447" spans="5:10" x14ac:dyDescent="0.2">
      <c r="E1447"/>
      <c r="F1447"/>
      <c r="G1447"/>
      <c r="I1447"/>
      <c r="J1447"/>
    </row>
    <row r="1448" spans="5:10" x14ac:dyDescent="0.2">
      <c r="E1448"/>
      <c r="F1448"/>
      <c r="G1448"/>
      <c r="I1448"/>
      <c r="J1448"/>
    </row>
    <row r="1449" spans="5:10" x14ac:dyDescent="0.2">
      <c r="E1449"/>
      <c r="F1449"/>
      <c r="G1449"/>
      <c r="I1449"/>
      <c r="J1449"/>
    </row>
    <row r="1450" spans="5:10" x14ac:dyDescent="0.2">
      <c r="E1450"/>
      <c r="F1450"/>
      <c r="G1450"/>
      <c r="I1450"/>
      <c r="J1450"/>
    </row>
    <row r="1451" spans="5:10" x14ac:dyDescent="0.2">
      <c r="E1451"/>
      <c r="F1451"/>
      <c r="G1451"/>
      <c r="I1451"/>
      <c r="J1451"/>
    </row>
    <row r="1452" spans="5:10" x14ac:dyDescent="0.2">
      <c r="E1452"/>
      <c r="F1452"/>
      <c r="G1452"/>
      <c r="I1452"/>
      <c r="J1452"/>
    </row>
    <row r="1453" spans="5:10" x14ac:dyDescent="0.2">
      <c r="E1453"/>
      <c r="F1453"/>
      <c r="G1453"/>
      <c r="I1453"/>
      <c r="J1453"/>
    </row>
    <row r="1454" spans="5:10" x14ac:dyDescent="0.2">
      <c r="E1454"/>
      <c r="F1454"/>
      <c r="G1454"/>
      <c r="I1454"/>
      <c r="J1454"/>
    </row>
    <row r="1455" spans="5:10" x14ac:dyDescent="0.2">
      <c r="E1455"/>
      <c r="F1455"/>
      <c r="G1455"/>
      <c r="I1455"/>
      <c r="J1455"/>
    </row>
    <row r="1456" spans="5:10" x14ac:dyDescent="0.2">
      <c r="E1456"/>
      <c r="F1456"/>
      <c r="G1456"/>
      <c r="I1456"/>
      <c r="J1456"/>
    </row>
    <row r="1457" spans="5:10" x14ac:dyDescent="0.2">
      <c r="E1457"/>
      <c r="F1457"/>
      <c r="G1457"/>
      <c r="I1457"/>
      <c r="J1457"/>
    </row>
    <row r="1458" spans="5:10" x14ac:dyDescent="0.2">
      <c r="E1458"/>
      <c r="F1458"/>
      <c r="G1458"/>
      <c r="I1458"/>
      <c r="J1458"/>
    </row>
    <row r="1459" spans="5:10" x14ac:dyDescent="0.2">
      <c r="E1459"/>
      <c r="F1459"/>
      <c r="G1459"/>
      <c r="I1459"/>
      <c r="J1459"/>
    </row>
    <row r="1460" spans="5:10" x14ac:dyDescent="0.2">
      <c r="E1460"/>
      <c r="F1460"/>
      <c r="G1460"/>
      <c r="I1460"/>
      <c r="J1460"/>
    </row>
    <row r="1461" spans="5:10" x14ac:dyDescent="0.2">
      <c r="E1461"/>
      <c r="F1461"/>
      <c r="G1461"/>
      <c r="I1461"/>
      <c r="J1461"/>
    </row>
    <row r="1462" spans="5:10" x14ac:dyDescent="0.2">
      <c r="E1462"/>
      <c r="F1462"/>
      <c r="G1462"/>
      <c r="I1462"/>
      <c r="J1462"/>
    </row>
    <row r="1463" spans="5:10" x14ac:dyDescent="0.2">
      <c r="E1463"/>
      <c r="F1463"/>
      <c r="G1463"/>
      <c r="I1463"/>
      <c r="J1463"/>
    </row>
    <row r="1464" spans="5:10" x14ac:dyDescent="0.2">
      <c r="E1464"/>
      <c r="F1464"/>
      <c r="G1464"/>
      <c r="I1464"/>
      <c r="J1464"/>
    </row>
    <row r="1465" spans="5:10" x14ac:dyDescent="0.2">
      <c r="E1465"/>
      <c r="F1465"/>
      <c r="G1465"/>
      <c r="I1465"/>
      <c r="J1465"/>
    </row>
    <row r="1466" spans="5:10" x14ac:dyDescent="0.2">
      <c r="E1466"/>
      <c r="F1466"/>
      <c r="G1466"/>
      <c r="I1466"/>
      <c r="J1466"/>
    </row>
    <row r="1467" spans="5:10" x14ac:dyDescent="0.2">
      <c r="E1467"/>
      <c r="F1467"/>
      <c r="G1467"/>
      <c r="I1467"/>
      <c r="J1467"/>
    </row>
    <row r="1468" spans="5:10" x14ac:dyDescent="0.2">
      <c r="E1468"/>
      <c r="F1468"/>
      <c r="G1468"/>
      <c r="I1468"/>
      <c r="J1468"/>
    </row>
    <row r="1469" spans="5:10" x14ac:dyDescent="0.2">
      <c r="E1469"/>
      <c r="F1469"/>
      <c r="G1469"/>
      <c r="I1469"/>
      <c r="J1469"/>
    </row>
    <row r="1470" spans="5:10" x14ac:dyDescent="0.2">
      <c r="E1470"/>
      <c r="F1470"/>
      <c r="G1470"/>
      <c r="I1470"/>
      <c r="J1470"/>
    </row>
    <row r="1471" spans="5:10" x14ac:dyDescent="0.2">
      <c r="E1471"/>
      <c r="F1471"/>
      <c r="G1471"/>
      <c r="I1471"/>
      <c r="J1471"/>
    </row>
    <row r="1472" spans="5:10" x14ac:dyDescent="0.2">
      <c r="E1472"/>
      <c r="F1472"/>
      <c r="G1472"/>
      <c r="I1472"/>
      <c r="J1472"/>
    </row>
    <row r="1473" spans="5:10" x14ac:dyDescent="0.2">
      <c r="E1473"/>
      <c r="F1473"/>
      <c r="G1473"/>
      <c r="I1473"/>
      <c r="J1473"/>
    </row>
    <row r="1474" spans="5:10" x14ac:dyDescent="0.2">
      <c r="E1474"/>
      <c r="F1474"/>
      <c r="G1474"/>
      <c r="I1474"/>
      <c r="J1474"/>
    </row>
    <row r="1475" spans="5:10" x14ac:dyDescent="0.2">
      <c r="E1475"/>
      <c r="F1475"/>
      <c r="G1475"/>
      <c r="I1475"/>
      <c r="J1475"/>
    </row>
    <row r="1476" spans="5:10" x14ac:dyDescent="0.2">
      <c r="E1476"/>
      <c r="F1476"/>
      <c r="G1476"/>
      <c r="I1476"/>
      <c r="J1476"/>
    </row>
    <row r="1477" spans="5:10" x14ac:dyDescent="0.2">
      <c r="E1477"/>
      <c r="F1477"/>
      <c r="G1477"/>
      <c r="I1477"/>
      <c r="J1477"/>
    </row>
    <row r="1478" spans="5:10" x14ac:dyDescent="0.2">
      <c r="E1478"/>
      <c r="F1478"/>
      <c r="G1478"/>
      <c r="I1478"/>
      <c r="J1478"/>
    </row>
    <row r="1479" spans="5:10" x14ac:dyDescent="0.2">
      <c r="E1479"/>
      <c r="F1479"/>
      <c r="G1479"/>
      <c r="I1479"/>
      <c r="J1479"/>
    </row>
    <row r="1480" spans="5:10" x14ac:dyDescent="0.2">
      <c r="E1480"/>
      <c r="F1480"/>
      <c r="G1480"/>
      <c r="I1480"/>
      <c r="J1480"/>
    </row>
    <row r="1481" spans="5:10" x14ac:dyDescent="0.2">
      <c r="E1481"/>
      <c r="F1481"/>
      <c r="G1481"/>
      <c r="I1481"/>
      <c r="J1481"/>
    </row>
    <row r="1482" spans="5:10" x14ac:dyDescent="0.2">
      <c r="E1482"/>
      <c r="F1482"/>
      <c r="G1482"/>
      <c r="I1482"/>
      <c r="J1482"/>
    </row>
    <row r="1483" spans="5:10" x14ac:dyDescent="0.2">
      <c r="E1483"/>
      <c r="F1483"/>
      <c r="G1483"/>
      <c r="I1483"/>
      <c r="J1483"/>
    </row>
    <row r="1484" spans="5:10" x14ac:dyDescent="0.2">
      <c r="E1484"/>
      <c r="F1484"/>
      <c r="G1484"/>
      <c r="I1484"/>
      <c r="J1484"/>
    </row>
    <row r="1485" spans="5:10" x14ac:dyDescent="0.2">
      <c r="E1485"/>
      <c r="F1485"/>
      <c r="G1485"/>
      <c r="I1485"/>
      <c r="J1485"/>
    </row>
    <row r="1486" spans="5:10" x14ac:dyDescent="0.2">
      <c r="E1486"/>
      <c r="F1486"/>
      <c r="G1486"/>
      <c r="I1486"/>
      <c r="J1486"/>
    </row>
    <row r="1487" spans="5:10" x14ac:dyDescent="0.2">
      <c r="E1487"/>
      <c r="F1487"/>
      <c r="G1487"/>
      <c r="I1487"/>
      <c r="J1487"/>
    </row>
    <row r="1488" spans="5:10" x14ac:dyDescent="0.2">
      <c r="E1488"/>
      <c r="F1488"/>
      <c r="G1488"/>
      <c r="I1488"/>
      <c r="J1488"/>
    </row>
    <row r="1489" spans="5:10" x14ac:dyDescent="0.2">
      <c r="E1489"/>
      <c r="F1489"/>
      <c r="G1489"/>
      <c r="I1489"/>
      <c r="J1489"/>
    </row>
    <row r="1490" spans="5:10" x14ac:dyDescent="0.2">
      <c r="E1490"/>
      <c r="F1490"/>
      <c r="G1490"/>
      <c r="I1490"/>
      <c r="J1490"/>
    </row>
    <row r="1491" spans="5:10" x14ac:dyDescent="0.2">
      <c r="E1491"/>
      <c r="F1491"/>
      <c r="G1491"/>
      <c r="I1491"/>
      <c r="J1491"/>
    </row>
    <row r="1492" spans="5:10" x14ac:dyDescent="0.2">
      <c r="E1492"/>
      <c r="F1492"/>
      <c r="G1492"/>
      <c r="I1492"/>
      <c r="J1492"/>
    </row>
    <row r="1493" spans="5:10" x14ac:dyDescent="0.2">
      <c r="E1493"/>
      <c r="F1493"/>
      <c r="G1493"/>
      <c r="I1493"/>
      <c r="J1493"/>
    </row>
    <row r="1494" spans="5:10" x14ac:dyDescent="0.2">
      <c r="E1494"/>
      <c r="F1494"/>
      <c r="G1494"/>
      <c r="I1494"/>
      <c r="J1494"/>
    </row>
    <row r="1495" spans="5:10" x14ac:dyDescent="0.2">
      <c r="E1495"/>
      <c r="F1495"/>
      <c r="G1495"/>
      <c r="I1495"/>
      <c r="J1495"/>
    </row>
    <row r="1496" spans="5:10" x14ac:dyDescent="0.2">
      <c r="E1496"/>
      <c r="F1496"/>
      <c r="G1496"/>
      <c r="I1496"/>
      <c r="J1496"/>
    </row>
    <row r="1497" spans="5:10" x14ac:dyDescent="0.2">
      <c r="E1497"/>
      <c r="F1497"/>
      <c r="G1497"/>
      <c r="I1497"/>
      <c r="J1497"/>
    </row>
    <row r="1498" spans="5:10" x14ac:dyDescent="0.2">
      <c r="E1498"/>
      <c r="F1498"/>
      <c r="G1498"/>
      <c r="I1498"/>
      <c r="J1498"/>
    </row>
    <row r="1499" spans="5:10" x14ac:dyDescent="0.2">
      <c r="E1499"/>
      <c r="F1499"/>
      <c r="G1499"/>
      <c r="I1499"/>
      <c r="J1499"/>
    </row>
    <row r="1500" spans="5:10" x14ac:dyDescent="0.2">
      <c r="E1500"/>
      <c r="F1500"/>
      <c r="G1500"/>
      <c r="I1500"/>
      <c r="J1500"/>
    </row>
    <row r="1501" spans="5:10" x14ac:dyDescent="0.2">
      <c r="E1501"/>
      <c r="F1501"/>
      <c r="G1501"/>
      <c r="I1501"/>
      <c r="J1501"/>
    </row>
    <row r="1502" spans="5:10" x14ac:dyDescent="0.2">
      <c r="E1502"/>
      <c r="F1502"/>
      <c r="G1502"/>
      <c r="I1502"/>
      <c r="J1502"/>
    </row>
    <row r="1503" spans="5:10" x14ac:dyDescent="0.2">
      <c r="E1503"/>
      <c r="F1503"/>
      <c r="G1503"/>
      <c r="I1503"/>
      <c r="J1503"/>
    </row>
    <row r="1504" spans="5:10" x14ac:dyDescent="0.2">
      <c r="E1504"/>
      <c r="F1504"/>
      <c r="G1504"/>
      <c r="I1504"/>
      <c r="J1504"/>
    </row>
    <row r="1505" spans="5:10" x14ac:dyDescent="0.2">
      <c r="E1505"/>
      <c r="F1505"/>
      <c r="G1505"/>
      <c r="I1505"/>
      <c r="J1505"/>
    </row>
    <row r="1506" spans="5:10" x14ac:dyDescent="0.2">
      <c r="E1506"/>
      <c r="F1506"/>
      <c r="G1506"/>
      <c r="I1506"/>
      <c r="J1506"/>
    </row>
    <row r="1507" spans="5:10" x14ac:dyDescent="0.2">
      <c r="E1507"/>
      <c r="F1507"/>
      <c r="G1507"/>
      <c r="I1507"/>
      <c r="J1507"/>
    </row>
    <row r="1508" spans="5:10" x14ac:dyDescent="0.2">
      <c r="E1508"/>
      <c r="F1508"/>
      <c r="G1508"/>
      <c r="I1508"/>
      <c r="J1508"/>
    </row>
    <row r="1509" spans="5:10" x14ac:dyDescent="0.2">
      <c r="E1509"/>
      <c r="F1509"/>
      <c r="G1509"/>
      <c r="I1509"/>
      <c r="J1509"/>
    </row>
    <row r="1510" spans="5:10" x14ac:dyDescent="0.2">
      <c r="E1510"/>
      <c r="F1510"/>
      <c r="G1510"/>
      <c r="I1510"/>
      <c r="J1510"/>
    </row>
    <row r="1511" spans="5:10" x14ac:dyDescent="0.2">
      <c r="E1511"/>
      <c r="F1511"/>
      <c r="G1511"/>
      <c r="I1511"/>
      <c r="J1511"/>
    </row>
    <row r="1512" spans="5:10" x14ac:dyDescent="0.2">
      <c r="E1512"/>
      <c r="F1512"/>
      <c r="G1512"/>
      <c r="I1512"/>
      <c r="J1512"/>
    </row>
    <row r="1513" spans="5:10" x14ac:dyDescent="0.2">
      <c r="E1513"/>
      <c r="F1513"/>
      <c r="G1513"/>
      <c r="I1513"/>
      <c r="J1513"/>
    </row>
    <row r="1514" spans="5:10" x14ac:dyDescent="0.2">
      <c r="E1514"/>
      <c r="F1514"/>
      <c r="G1514"/>
      <c r="I1514"/>
      <c r="J1514"/>
    </row>
    <row r="1515" spans="5:10" x14ac:dyDescent="0.2">
      <c r="E1515"/>
      <c r="F1515"/>
      <c r="G1515"/>
      <c r="I1515"/>
      <c r="J1515"/>
    </row>
    <row r="1516" spans="5:10" x14ac:dyDescent="0.2">
      <c r="E1516"/>
      <c r="F1516"/>
      <c r="G1516"/>
      <c r="I1516"/>
      <c r="J1516"/>
    </row>
    <row r="1517" spans="5:10" x14ac:dyDescent="0.2">
      <c r="E1517"/>
      <c r="F1517"/>
      <c r="G1517"/>
      <c r="I1517"/>
      <c r="J1517"/>
    </row>
    <row r="1518" spans="5:10" x14ac:dyDescent="0.2">
      <c r="E1518"/>
      <c r="F1518"/>
      <c r="G1518"/>
      <c r="I1518"/>
      <c r="J1518"/>
    </row>
    <row r="1519" spans="5:10" x14ac:dyDescent="0.2">
      <c r="E1519"/>
      <c r="F1519"/>
      <c r="G1519"/>
      <c r="I1519"/>
      <c r="J1519"/>
    </row>
    <row r="1520" spans="5:10" x14ac:dyDescent="0.2">
      <c r="E1520"/>
      <c r="F1520"/>
      <c r="G1520"/>
      <c r="I1520"/>
      <c r="J1520"/>
    </row>
    <row r="1521" spans="5:10" x14ac:dyDescent="0.2">
      <c r="E1521"/>
      <c r="F1521"/>
      <c r="G1521"/>
      <c r="I1521"/>
      <c r="J1521"/>
    </row>
    <row r="1522" spans="5:10" x14ac:dyDescent="0.2">
      <c r="E1522"/>
      <c r="F1522"/>
      <c r="G1522"/>
      <c r="I1522"/>
      <c r="J1522"/>
    </row>
    <row r="1523" spans="5:10" x14ac:dyDescent="0.2">
      <c r="E1523"/>
      <c r="F1523"/>
      <c r="G1523"/>
      <c r="I1523"/>
      <c r="J1523"/>
    </row>
    <row r="1524" spans="5:10" x14ac:dyDescent="0.2">
      <c r="E1524"/>
      <c r="F1524"/>
      <c r="G1524"/>
      <c r="I1524"/>
      <c r="J1524"/>
    </row>
    <row r="1525" spans="5:10" x14ac:dyDescent="0.2">
      <c r="E1525"/>
      <c r="F1525"/>
      <c r="G1525"/>
      <c r="I1525"/>
      <c r="J1525"/>
    </row>
    <row r="1526" spans="5:10" x14ac:dyDescent="0.2">
      <c r="E1526"/>
      <c r="F1526"/>
      <c r="G1526"/>
      <c r="I1526"/>
      <c r="J1526"/>
    </row>
    <row r="1527" spans="5:10" x14ac:dyDescent="0.2">
      <c r="E1527"/>
      <c r="F1527"/>
      <c r="G1527"/>
      <c r="I1527"/>
      <c r="J1527"/>
    </row>
    <row r="1528" spans="5:10" x14ac:dyDescent="0.2">
      <c r="E1528"/>
      <c r="F1528"/>
      <c r="G1528"/>
      <c r="I1528"/>
      <c r="J1528"/>
    </row>
    <row r="1529" spans="5:10" x14ac:dyDescent="0.2">
      <c r="E1529"/>
      <c r="F1529"/>
      <c r="G1529"/>
      <c r="I1529"/>
      <c r="J1529"/>
    </row>
    <row r="1530" spans="5:10" x14ac:dyDescent="0.2">
      <c r="E1530"/>
      <c r="F1530"/>
      <c r="G1530"/>
      <c r="I1530"/>
      <c r="J1530"/>
    </row>
    <row r="1531" spans="5:10" x14ac:dyDescent="0.2">
      <c r="E1531"/>
      <c r="F1531"/>
      <c r="G1531"/>
      <c r="I1531"/>
      <c r="J1531"/>
    </row>
    <row r="1532" spans="5:10" x14ac:dyDescent="0.2">
      <c r="E1532"/>
      <c r="F1532"/>
      <c r="G1532"/>
      <c r="I1532"/>
      <c r="J1532"/>
    </row>
    <row r="1533" spans="5:10" x14ac:dyDescent="0.2">
      <c r="E1533"/>
      <c r="F1533"/>
      <c r="G1533"/>
      <c r="I1533"/>
      <c r="J1533"/>
    </row>
    <row r="1534" spans="5:10" x14ac:dyDescent="0.2">
      <c r="E1534"/>
      <c r="F1534"/>
      <c r="G1534"/>
      <c r="I1534"/>
      <c r="J1534"/>
    </row>
    <row r="1535" spans="5:10" x14ac:dyDescent="0.2">
      <c r="E1535"/>
      <c r="F1535"/>
      <c r="G1535"/>
      <c r="I1535"/>
      <c r="J1535"/>
    </row>
    <row r="1536" spans="5:10" x14ac:dyDescent="0.2">
      <c r="E1536"/>
      <c r="F1536"/>
      <c r="G1536"/>
      <c r="I1536"/>
      <c r="J1536"/>
    </row>
    <row r="1537" spans="5:10" x14ac:dyDescent="0.2">
      <c r="E1537"/>
      <c r="F1537"/>
      <c r="G1537"/>
      <c r="I1537"/>
      <c r="J1537"/>
    </row>
    <row r="1538" spans="5:10" x14ac:dyDescent="0.2">
      <c r="E1538"/>
      <c r="F1538"/>
      <c r="G1538"/>
      <c r="I1538"/>
      <c r="J1538"/>
    </row>
    <row r="1539" spans="5:10" x14ac:dyDescent="0.2">
      <c r="E1539"/>
      <c r="F1539"/>
      <c r="G1539"/>
      <c r="I1539"/>
      <c r="J1539"/>
    </row>
    <row r="1540" spans="5:10" x14ac:dyDescent="0.2">
      <c r="E1540"/>
      <c r="F1540"/>
      <c r="G1540"/>
      <c r="I1540"/>
      <c r="J1540"/>
    </row>
    <row r="1541" spans="5:10" x14ac:dyDescent="0.2">
      <c r="E1541"/>
      <c r="F1541"/>
      <c r="G1541"/>
      <c r="I1541"/>
      <c r="J1541"/>
    </row>
    <row r="1542" spans="5:10" x14ac:dyDescent="0.2">
      <c r="E1542"/>
      <c r="F1542"/>
      <c r="G1542"/>
      <c r="I1542"/>
      <c r="J1542"/>
    </row>
    <row r="1543" spans="5:10" x14ac:dyDescent="0.2">
      <c r="E1543"/>
      <c r="F1543"/>
      <c r="G1543"/>
      <c r="I1543"/>
      <c r="J1543"/>
    </row>
    <row r="1544" spans="5:10" x14ac:dyDescent="0.2">
      <c r="E1544"/>
      <c r="F1544"/>
      <c r="G1544"/>
      <c r="I1544"/>
      <c r="J1544"/>
    </row>
    <row r="1545" spans="5:10" x14ac:dyDescent="0.2">
      <c r="E1545"/>
      <c r="F1545"/>
      <c r="G1545"/>
      <c r="I1545"/>
      <c r="J1545"/>
    </row>
    <row r="1546" spans="5:10" x14ac:dyDescent="0.2">
      <c r="E1546"/>
      <c r="F1546"/>
      <c r="G1546"/>
      <c r="I1546"/>
      <c r="J1546"/>
    </row>
    <row r="1547" spans="5:10" x14ac:dyDescent="0.2">
      <c r="E1547"/>
      <c r="F1547"/>
      <c r="G1547"/>
      <c r="I1547"/>
      <c r="J1547"/>
    </row>
    <row r="1548" spans="5:10" x14ac:dyDescent="0.2">
      <c r="E1548"/>
      <c r="F1548"/>
      <c r="G1548"/>
      <c r="I1548"/>
      <c r="J1548"/>
    </row>
    <row r="1549" spans="5:10" x14ac:dyDescent="0.2">
      <c r="E1549"/>
      <c r="F1549"/>
      <c r="G1549"/>
      <c r="I1549"/>
      <c r="J1549"/>
    </row>
    <row r="1550" spans="5:10" x14ac:dyDescent="0.2">
      <c r="E1550"/>
      <c r="F1550"/>
      <c r="G1550"/>
      <c r="I1550"/>
      <c r="J1550"/>
    </row>
    <row r="1551" spans="5:10" x14ac:dyDescent="0.2">
      <c r="E1551"/>
      <c r="F1551"/>
      <c r="G1551"/>
      <c r="I1551"/>
      <c r="J1551"/>
    </row>
    <row r="1552" spans="5:10" x14ac:dyDescent="0.2">
      <c r="E1552"/>
      <c r="F1552"/>
      <c r="G1552"/>
      <c r="I1552"/>
      <c r="J1552"/>
    </row>
    <row r="1553" spans="5:10" x14ac:dyDescent="0.2">
      <c r="E1553"/>
      <c r="F1553"/>
      <c r="G1553"/>
      <c r="I1553"/>
      <c r="J1553"/>
    </row>
    <row r="1554" spans="5:10" x14ac:dyDescent="0.2">
      <c r="E1554"/>
      <c r="F1554"/>
      <c r="G1554"/>
      <c r="I1554"/>
      <c r="J1554"/>
    </row>
    <row r="1555" spans="5:10" x14ac:dyDescent="0.2">
      <c r="E1555"/>
      <c r="F1555"/>
      <c r="G1555"/>
      <c r="I1555"/>
      <c r="J1555"/>
    </row>
    <row r="1556" spans="5:10" x14ac:dyDescent="0.2">
      <c r="E1556"/>
      <c r="F1556"/>
      <c r="G1556"/>
      <c r="I1556"/>
      <c r="J1556"/>
    </row>
    <row r="1557" spans="5:10" x14ac:dyDescent="0.2">
      <c r="E1557"/>
      <c r="F1557"/>
      <c r="G1557"/>
      <c r="I1557"/>
      <c r="J1557"/>
    </row>
    <row r="1558" spans="5:10" x14ac:dyDescent="0.2">
      <c r="E1558"/>
      <c r="F1558"/>
      <c r="G1558"/>
      <c r="I1558"/>
      <c r="J1558"/>
    </row>
    <row r="1559" spans="5:10" x14ac:dyDescent="0.2">
      <c r="E1559"/>
      <c r="F1559"/>
      <c r="G1559"/>
      <c r="I1559"/>
      <c r="J1559"/>
    </row>
    <row r="1560" spans="5:10" x14ac:dyDescent="0.2">
      <c r="E1560"/>
      <c r="F1560"/>
      <c r="G1560"/>
      <c r="I1560"/>
      <c r="J1560"/>
    </row>
    <row r="1561" spans="5:10" x14ac:dyDescent="0.2">
      <c r="E1561"/>
      <c r="F1561"/>
      <c r="G1561"/>
      <c r="I1561"/>
      <c r="J1561"/>
    </row>
    <row r="1562" spans="5:10" x14ac:dyDescent="0.2">
      <c r="E1562"/>
      <c r="F1562"/>
      <c r="G1562"/>
      <c r="I1562"/>
      <c r="J1562"/>
    </row>
    <row r="1563" spans="5:10" x14ac:dyDescent="0.2">
      <c r="E1563"/>
      <c r="F1563"/>
      <c r="G1563"/>
      <c r="I1563"/>
      <c r="J1563"/>
    </row>
    <row r="1564" spans="5:10" x14ac:dyDescent="0.2">
      <c r="E1564"/>
      <c r="F1564"/>
      <c r="G1564"/>
      <c r="I1564"/>
      <c r="J1564"/>
    </row>
    <row r="1565" spans="5:10" x14ac:dyDescent="0.2">
      <c r="E1565"/>
      <c r="F1565"/>
      <c r="G1565"/>
      <c r="I1565"/>
      <c r="J1565"/>
    </row>
    <row r="1566" spans="5:10" x14ac:dyDescent="0.2">
      <c r="E1566"/>
      <c r="F1566"/>
      <c r="G1566"/>
      <c r="I1566"/>
      <c r="J1566"/>
    </row>
    <row r="1567" spans="5:10" x14ac:dyDescent="0.2">
      <c r="E1567"/>
      <c r="F1567"/>
      <c r="G1567"/>
      <c r="I1567"/>
      <c r="J1567"/>
    </row>
    <row r="1568" spans="5:10" x14ac:dyDescent="0.2">
      <c r="E1568"/>
      <c r="F1568"/>
      <c r="G1568"/>
      <c r="I1568"/>
      <c r="J1568"/>
    </row>
    <row r="1569" spans="5:10" x14ac:dyDescent="0.2">
      <c r="E1569"/>
      <c r="F1569"/>
      <c r="G1569"/>
      <c r="I1569"/>
      <c r="J1569"/>
    </row>
    <row r="1570" spans="5:10" x14ac:dyDescent="0.2">
      <c r="E1570"/>
      <c r="F1570"/>
      <c r="G1570"/>
      <c r="I1570"/>
      <c r="J1570"/>
    </row>
    <row r="1571" spans="5:10" x14ac:dyDescent="0.2">
      <c r="E1571"/>
      <c r="F1571"/>
      <c r="G1571"/>
      <c r="I1571"/>
      <c r="J1571"/>
    </row>
    <row r="1572" spans="5:10" x14ac:dyDescent="0.2">
      <c r="E1572"/>
      <c r="F1572"/>
      <c r="G1572"/>
      <c r="I1572"/>
      <c r="J1572"/>
    </row>
    <row r="1573" spans="5:10" x14ac:dyDescent="0.2">
      <c r="E1573"/>
      <c r="F1573"/>
      <c r="G1573"/>
      <c r="I1573"/>
      <c r="J1573"/>
    </row>
    <row r="1574" spans="5:10" x14ac:dyDescent="0.2">
      <c r="E1574"/>
      <c r="F1574"/>
      <c r="G1574"/>
      <c r="I1574"/>
      <c r="J1574"/>
    </row>
    <row r="1575" spans="5:10" x14ac:dyDescent="0.2">
      <c r="E1575"/>
      <c r="F1575"/>
      <c r="G1575"/>
      <c r="I1575"/>
      <c r="J1575"/>
    </row>
    <row r="1576" spans="5:10" x14ac:dyDescent="0.2">
      <c r="E1576"/>
      <c r="F1576"/>
      <c r="G1576"/>
      <c r="I1576"/>
      <c r="J1576"/>
    </row>
    <row r="1577" spans="5:10" x14ac:dyDescent="0.2">
      <c r="E1577"/>
      <c r="F1577"/>
      <c r="G1577"/>
      <c r="I1577"/>
      <c r="J1577"/>
    </row>
    <row r="1578" spans="5:10" x14ac:dyDescent="0.2">
      <c r="E1578"/>
      <c r="F1578"/>
      <c r="G1578"/>
      <c r="I1578"/>
      <c r="J1578"/>
    </row>
    <row r="1579" spans="5:10" x14ac:dyDescent="0.2">
      <c r="E1579"/>
      <c r="F1579"/>
      <c r="G1579"/>
      <c r="I1579"/>
      <c r="J1579"/>
    </row>
    <row r="1580" spans="5:10" x14ac:dyDescent="0.2">
      <c r="E1580"/>
      <c r="F1580"/>
      <c r="G1580"/>
      <c r="I1580"/>
      <c r="J1580"/>
    </row>
    <row r="1581" spans="5:10" x14ac:dyDescent="0.2">
      <c r="E1581"/>
      <c r="F1581"/>
      <c r="G1581"/>
      <c r="I1581"/>
      <c r="J1581"/>
    </row>
    <row r="1582" spans="5:10" x14ac:dyDescent="0.2">
      <c r="E1582"/>
      <c r="F1582"/>
      <c r="G1582"/>
      <c r="I1582"/>
      <c r="J1582"/>
    </row>
    <row r="1583" spans="5:10" x14ac:dyDescent="0.2">
      <c r="E1583"/>
      <c r="F1583"/>
      <c r="G1583"/>
      <c r="I1583"/>
      <c r="J1583"/>
    </row>
    <row r="1584" spans="5:10" x14ac:dyDescent="0.2">
      <c r="E1584"/>
      <c r="F1584"/>
      <c r="G1584"/>
      <c r="I1584"/>
      <c r="J1584"/>
    </row>
    <row r="1585" spans="5:10" x14ac:dyDescent="0.2">
      <c r="E1585"/>
      <c r="F1585"/>
      <c r="G1585"/>
      <c r="I1585"/>
      <c r="J1585"/>
    </row>
    <row r="1586" spans="5:10" x14ac:dyDescent="0.2">
      <c r="E1586"/>
      <c r="F1586"/>
      <c r="G1586"/>
      <c r="I1586"/>
      <c r="J1586"/>
    </row>
    <row r="1587" spans="5:10" x14ac:dyDescent="0.2">
      <c r="E1587"/>
      <c r="F1587"/>
      <c r="G1587"/>
      <c r="I1587"/>
      <c r="J1587"/>
    </row>
    <row r="1588" spans="5:10" x14ac:dyDescent="0.2">
      <c r="E1588"/>
      <c r="F1588"/>
      <c r="G1588"/>
      <c r="I1588"/>
      <c r="J1588"/>
    </row>
    <row r="1589" spans="5:10" x14ac:dyDescent="0.2">
      <c r="E1589"/>
      <c r="F1589"/>
      <c r="G1589"/>
      <c r="I1589"/>
      <c r="J1589"/>
    </row>
    <row r="1590" spans="5:10" x14ac:dyDescent="0.2">
      <c r="E1590"/>
      <c r="F1590"/>
      <c r="G1590"/>
      <c r="I1590"/>
      <c r="J1590"/>
    </row>
    <row r="1591" spans="5:10" x14ac:dyDescent="0.2">
      <c r="E1591"/>
      <c r="F1591"/>
      <c r="G1591"/>
      <c r="I1591"/>
      <c r="J1591"/>
    </row>
    <row r="1592" spans="5:10" x14ac:dyDescent="0.2">
      <c r="E1592"/>
      <c r="F1592"/>
      <c r="G1592"/>
      <c r="I1592"/>
      <c r="J1592"/>
    </row>
    <row r="1593" spans="5:10" x14ac:dyDescent="0.2">
      <c r="E1593"/>
      <c r="F1593"/>
      <c r="G1593"/>
      <c r="I1593"/>
      <c r="J1593"/>
    </row>
    <row r="1594" spans="5:10" x14ac:dyDescent="0.2">
      <c r="E1594"/>
      <c r="F1594"/>
      <c r="G1594"/>
      <c r="I1594"/>
      <c r="J1594"/>
    </row>
    <row r="1595" spans="5:10" x14ac:dyDescent="0.2">
      <c r="E1595"/>
      <c r="F1595"/>
      <c r="G1595"/>
      <c r="I1595"/>
      <c r="J1595"/>
    </row>
    <row r="1596" spans="5:10" x14ac:dyDescent="0.2">
      <c r="E1596"/>
      <c r="F1596"/>
      <c r="G1596"/>
      <c r="I1596"/>
      <c r="J1596"/>
    </row>
    <row r="1597" spans="5:10" x14ac:dyDescent="0.2">
      <c r="E1597"/>
      <c r="F1597"/>
      <c r="G1597"/>
      <c r="I1597"/>
      <c r="J1597"/>
    </row>
    <row r="1598" spans="5:10" x14ac:dyDescent="0.2">
      <c r="E1598"/>
      <c r="F1598"/>
      <c r="G1598"/>
      <c r="I1598"/>
      <c r="J1598"/>
    </row>
    <row r="1599" spans="5:10" x14ac:dyDescent="0.2">
      <c r="E1599"/>
      <c r="F1599"/>
      <c r="G1599"/>
      <c r="I1599"/>
      <c r="J1599"/>
    </row>
    <row r="1600" spans="5:10" x14ac:dyDescent="0.2">
      <c r="E1600"/>
      <c r="F1600"/>
      <c r="G1600"/>
      <c r="I1600"/>
      <c r="J1600"/>
    </row>
    <row r="1601" spans="5:10" x14ac:dyDescent="0.2">
      <c r="E1601"/>
      <c r="F1601"/>
      <c r="G1601"/>
      <c r="I1601"/>
      <c r="J1601"/>
    </row>
    <row r="1602" spans="5:10" x14ac:dyDescent="0.2">
      <c r="E1602"/>
      <c r="F1602"/>
      <c r="G1602"/>
      <c r="I1602"/>
      <c r="J1602"/>
    </row>
    <row r="1603" spans="5:10" x14ac:dyDescent="0.2">
      <c r="E1603"/>
      <c r="F1603"/>
      <c r="G1603"/>
      <c r="I1603"/>
      <c r="J1603"/>
    </row>
    <row r="1604" spans="5:10" x14ac:dyDescent="0.2">
      <c r="E1604"/>
      <c r="F1604"/>
      <c r="G1604"/>
      <c r="I1604"/>
      <c r="J1604"/>
    </row>
    <row r="1605" spans="5:10" x14ac:dyDescent="0.2">
      <c r="E1605"/>
      <c r="F1605"/>
      <c r="G1605"/>
      <c r="I1605"/>
      <c r="J1605"/>
    </row>
    <row r="1606" spans="5:10" x14ac:dyDescent="0.2">
      <c r="E1606"/>
      <c r="F1606"/>
      <c r="G1606"/>
      <c r="I1606"/>
      <c r="J1606"/>
    </row>
    <row r="1607" spans="5:10" x14ac:dyDescent="0.2">
      <c r="E1607"/>
      <c r="F1607"/>
      <c r="G1607"/>
      <c r="I1607"/>
      <c r="J1607"/>
    </row>
    <row r="1608" spans="5:10" x14ac:dyDescent="0.2">
      <c r="E1608"/>
      <c r="F1608"/>
      <c r="G1608"/>
      <c r="I1608"/>
      <c r="J1608"/>
    </row>
    <row r="1609" spans="5:10" x14ac:dyDescent="0.2">
      <c r="E1609"/>
      <c r="F1609"/>
      <c r="G1609"/>
      <c r="I1609"/>
      <c r="J1609"/>
    </row>
    <row r="1610" spans="5:10" x14ac:dyDescent="0.2">
      <c r="E1610"/>
      <c r="F1610"/>
      <c r="G1610"/>
      <c r="I1610"/>
      <c r="J1610"/>
    </row>
    <row r="1611" spans="5:10" x14ac:dyDescent="0.2">
      <c r="E1611"/>
      <c r="F1611"/>
      <c r="G1611"/>
      <c r="I1611"/>
      <c r="J1611"/>
    </row>
    <row r="1612" spans="5:10" x14ac:dyDescent="0.2">
      <c r="E1612"/>
      <c r="F1612"/>
      <c r="G1612"/>
      <c r="I1612"/>
      <c r="J1612"/>
    </row>
    <row r="1613" spans="5:10" x14ac:dyDescent="0.2">
      <c r="E1613"/>
      <c r="F1613"/>
      <c r="G1613"/>
      <c r="I1613"/>
      <c r="J1613"/>
    </row>
    <row r="1614" spans="5:10" x14ac:dyDescent="0.2">
      <c r="E1614"/>
      <c r="F1614"/>
      <c r="G1614"/>
      <c r="I1614"/>
      <c r="J1614"/>
    </row>
    <row r="1615" spans="5:10" x14ac:dyDescent="0.2">
      <c r="E1615"/>
      <c r="F1615"/>
      <c r="G1615"/>
      <c r="I1615"/>
      <c r="J1615"/>
    </row>
    <row r="1616" spans="5:10" x14ac:dyDescent="0.2">
      <c r="E1616"/>
      <c r="F1616"/>
      <c r="G1616"/>
      <c r="I1616"/>
      <c r="J1616"/>
    </row>
    <row r="1617" spans="5:10" x14ac:dyDescent="0.2">
      <c r="E1617"/>
      <c r="F1617"/>
      <c r="G1617"/>
      <c r="I1617"/>
      <c r="J1617"/>
    </row>
    <row r="1618" spans="5:10" x14ac:dyDescent="0.2">
      <c r="E1618"/>
      <c r="F1618"/>
      <c r="G1618"/>
      <c r="I1618"/>
      <c r="J1618"/>
    </row>
    <row r="1619" spans="5:10" x14ac:dyDescent="0.2">
      <c r="E1619"/>
      <c r="F1619"/>
      <c r="G1619"/>
      <c r="I1619"/>
      <c r="J1619"/>
    </row>
    <row r="1620" spans="5:10" x14ac:dyDescent="0.2">
      <c r="E1620"/>
      <c r="F1620"/>
      <c r="G1620"/>
      <c r="I1620"/>
      <c r="J1620"/>
    </row>
    <row r="1621" spans="5:10" x14ac:dyDescent="0.2">
      <c r="E1621"/>
      <c r="F1621"/>
      <c r="G1621"/>
      <c r="I1621"/>
      <c r="J1621"/>
    </row>
    <row r="1622" spans="5:10" x14ac:dyDescent="0.2">
      <c r="E1622"/>
      <c r="F1622"/>
      <c r="G1622"/>
      <c r="I1622"/>
      <c r="J1622"/>
    </row>
    <row r="1623" spans="5:10" x14ac:dyDescent="0.2">
      <c r="E1623"/>
      <c r="F1623"/>
      <c r="G1623"/>
      <c r="I1623"/>
      <c r="J1623"/>
    </row>
    <row r="1624" spans="5:10" x14ac:dyDescent="0.2">
      <c r="E1624"/>
      <c r="F1624"/>
      <c r="G1624"/>
      <c r="I1624"/>
      <c r="J1624"/>
    </row>
    <row r="1625" spans="5:10" x14ac:dyDescent="0.2">
      <c r="E1625"/>
      <c r="F1625"/>
      <c r="G1625"/>
      <c r="I1625"/>
      <c r="J1625"/>
    </row>
    <row r="1626" spans="5:10" x14ac:dyDescent="0.2">
      <c r="E1626"/>
      <c r="F1626"/>
      <c r="G1626"/>
      <c r="I1626"/>
      <c r="J1626"/>
    </row>
    <row r="1627" spans="5:10" x14ac:dyDescent="0.2">
      <c r="E1627"/>
      <c r="F1627"/>
      <c r="G1627"/>
      <c r="I1627"/>
      <c r="J1627"/>
    </row>
    <row r="1628" spans="5:10" x14ac:dyDescent="0.2">
      <c r="E1628"/>
      <c r="F1628"/>
      <c r="G1628"/>
      <c r="I1628"/>
      <c r="J1628"/>
    </row>
    <row r="1629" spans="5:10" x14ac:dyDescent="0.2">
      <c r="E1629"/>
      <c r="F1629"/>
      <c r="G1629"/>
      <c r="I1629"/>
      <c r="J1629"/>
    </row>
    <row r="1630" spans="5:10" x14ac:dyDescent="0.2">
      <c r="E1630"/>
      <c r="F1630"/>
      <c r="G1630"/>
      <c r="I1630"/>
      <c r="J1630"/>
    </row>
    <row r="1631" spans="5:10" x14ac:dyDescent="0.2">
      <c r="E1631"/>
      <c r="F1631"/>
      <c r="G1631"/>
      <c r="I1631"/>
      <c r="J1631"/>
    </row>
    <row r="1632" spans="5:10" x14ac:dyDescent="0.2">
      <c r="E1632"/>
      <c r="F1632"/>
      <c r="G1632"/>
      <c r="I1632"/>
      <c r="J1632"/>
    </row>
    <row r="1633" spans="5:10" x14ac:dyDescent="0.2">
      <c r="E1633"/>
      <c r="F1633"/>
      <c r="G1633"/>
      <c r="I1633"/>
      <c r="J1633"/>
    </row>
    <row r="1634" spans="5:10" x14ac:dyDescent="0.2">
      <c r="E1634"/>
      <c r="F1634"/>
      <c r="G1634"/>
      <c r="I1634"/>
      <c r="J1634"/>
    </row>
    <row r="1635" spans="5:10" x14ac:dyDescent="0.2">
      <c r="E1635"/>
      <c r="F1635"/>
      <c r="G1635"/>
      <c r="I1635"/>
      <c r="J1635"/>
    </row>
    <row r="1636" spans="5:10" x14ac:dyDescent="0.2">
      <c r="E1636"/>
      <c r="F1636"/>
      <c r="G1636"/>
      <c r="I1636"/>
      <c r="J1636"/>
    </row>
    <row r="1637" spans="5:10" x14ac:dyDescent="0.2">
      <c r="E1637"/>
      <c r="F1637"/>
      <c r="G1637"/>
      <c r="I1637"/>
      <c r="J1637"/>
    </row>
    <row r="1638" spans="5:10" x14ac:dyDescent="0.2">
      <c r="E1638"/>
      <c r="F1638"/>
      <c r="G1638"/>
      <c r="I1638"/>
      <c r="J1638"/>
    </row>
    <row r="1639" spans="5:10" x14ac:dyDescent="0.2">
      <c r="E1639"/>
      <c r="F1639"/>
      <c r="G1639"/>
      <c r="I1639"/>
      <c r="J1639"/>
    </row>
    <row r="1640" spans="5:10" x14ac:dyDescent="0.2">
      <c r="E1640"/>
      <c r="F1640"/>
      <c r="G1640"/>
      <c r="I1640"/>
      <c r="J1640"/>
    </row>
    <row r="1641" spans="5:10" x14ac:dyDescent="0.2">
      <c r="E1641"/>
      <c r="F1641"/>
      <c r="G1641"/>
      <c r="I1641"/>
      <c r="J1641"/>
    </row>
    <row r="1642" spans="5:10" x14ac:dyDescent="0.2">
      <c r="E1642"/>
      <c r="F1642"/>
      <c r="G1642"/>
      <c r="I1642"/>
      <c r="J1642"/>
    </row>
    <row r="1643" spans="5:10" x14ac:dyDescent="0.2">
      <c r="E1643"/>
      <c r="F1643"/>
      <c r="G1643"/>
      <c r="I1643"/>
      <c r="J1643"/>
    </row>
    <row r="1644" spans="5:10" x14ac:dyDescent="0.2">
      <c r="E1644"/>
      <c r="F1644"/>
      <c r="G1644"/>
      <c r="I1644"/>
      <c r="J1644"/>
    </row>
    <row r="1645" spans="5:10" x14ac:dyDescent="0.2">
      <c r="E1645"/>
      <c r="F1645"/>
      <c r="G1645"/>
      <c r="I1645"/>
      <c r="J1645"/>
    </row>
    <row r="1646" spans="5:10" x14ac:dyDescent="0.2">
      <c r="E1646"/>
      <c r="F1646"/>
      <c r="G1646"/>
      <c r="I1646"/>
      <c r="J1646"/>
    </row>
    <row r="1647" spans="5:10" x14ac:dyDescent="0.2">
      <c r="E1647"/>
      <c r="F1647"/>
      <c r="G1647"/>
      <c r="I1647"/>
      <c r="J1647"/>
    </row>
    <row r="1648" spans="5:10" x14ac:dyDescent="0.2">
      <c r="E1648"/>
      <c r="F1648"/>
      <c r="G1648"/>
      <c r="I1648"/>
      <c r="J1648"/>
    </row>
    <row r="1649" spans="5:10" x14ac:dyDescent="0.2">
      <c r="E1649"/>
      <c r="F1649"/>
      <c r="G1649"/>
      <c r="I1649"/>
      <c r="J1649"/>
    </row>
    <row r="1650" spans="5:10" x14ac:dyDescent="0.2">
      <c r="E1650"/>
      <c r="F1650"/>
      <c r="G1650"/>
      <c r="I1650"/>
      <c r="J1650"/>
    </row>
    <row r="1651" spans="5:10" x14ac:dyDescent="0.2">
      <c r="E1651"/>
      <c r="F1651"/>
      <c r="G1651"/>
      <c r="I1651"/>
      <c r="J1651"/>
    </row>
    <row r="1652" spans="5:10" x14ac:dyDescent="0.2">
      <c r="E1652"/>
      <c r="F1652"/>
      <c r="G1652"/>
      <c r="I1652"/>
      <c r="J1652"/>
    </row>
    <row r="1653" spans="5:10" x14ac:dyDescent="0.2">
      <c r="E1653"/>
      <c r="F1653"/>
      <c r="G1653"/>
      <c r="I1653"/>
      <c r="J1653"/>
    </row>
    <row r="1654" spans="5:10" x14ac:dyDescent="0.2">
      <c r="E1654"/>
      <c r="F1654"/>
      <c r="G1654"/>
      <c r="I1654"/>
      <c r="J1654"/>
    </row>
    <row r="1655" spans="5:10" x14ac:dyDescent="0.2">
      <c r="E1655"/>
      <c r="F1655"/>
      <c r="G1655"/>
      <c r="I1655"/>
      <c r="J1655"/>
    </row>
    <row r="1656" spans="5:10" x14ac:dyDescent="0.2">
      <c r="E1656"/>
      <c r="F1656"/>
      <c r="G1656"/>
      <c r="I1656"/>
      <c r="J1656"/>
    </row>
    <row r="1657" spans="5:10" x14ac:dyDescent="0.2">
      <c r="E1657"/>
      <c r="F1657"/>
      <c r="G1657"/>
      <c r="I1657"/>
      <c r="J1657"/>
    </row>
    <row r="1658" spans="5:10" x14ac:dyDescent="0.2">
      <c r="E1658"/>
      <c r="F1658"/>
      <c r="G1658"/>
      <c r="I1658"/>
      <c r="J1658"/>
    </row>
    <row r="1659" spans="5:10" x14ac:dyDescent="0.2">
      <c r="E1659"/>
      <c r="F1659"/>
      <c r="G1659"/>
      <c r="I1659"/>
      <c r="J1659"/>
    </row>
    <row r="1660" spans="5:10" x14ac:dyDescent="0.2">
      <c r="E1660"/>
      <c r="F1660"/>
      <c r="G1660"/>
      <c r="I1660"/>
      <c r="J1660"/>
    </row>
    <row r="1661" spans="5:10" x14ac:dyDescent="0.2">
      <c r="E1661"/>
      <c r="F1661"/>
      <c r="G1661"/>
      <c r="I1661"/>
      <c r="J1661"/>
    </row>
    <row r="1662" spans="5:10" x14ac:dyDescent="0.2">
      <c r="E1662"/>
      <c r="F1662"/>
      <c r="G1662"/>
      <c r="I1662"/>
      <c r="J1662"/>
    </row>
    <row r="1663" spans="5:10" x14ac:dyDescent="0.2">
      <c r="E1663"/>
      <c r="F1663"/>
      <c r="G1663"/>
      <c r="I1663"/>
      <c r="J1663"/>
    </row>
    <row r="1664" spans="5:10" x14ac:dyDescent="0.2">
      <c r="E1664"/>
      <c r="F1664"/>
      <c r="G1664"/>
      <c r="I1664"/>
      <c r="J1664"/>
    </row>
    <row r="1665" spans="5:10" x14ac:dyDescent="0.2">
      <c r="E1665"/>
      <c r="F1665"/>
      <c r="G1665"/>
      <c r="I1665"/>
      <c r="J1665"/>
    </row>
    <row r="1666" spans="5:10" x14ac:dyDescent="0.2">
      <c r="E1666"/>
      <c r="F1666"/>
      <c r="G1666"/>
      <c r="I1666"/>
      <c r="J1666"/>
    </row>
    <row r="1667" spans="5:10" x14ac:dyDescent="0.2">
      <c r="E1667"/>
      <c r="F1667"/>
      <c r="G1667"/>
      <c r="I1667"/>
      <c r="J1667"/>
    </row>
    <row r="1668" spans="5:10" x14ac:dyDescent="0.2">
      <c r="E1668"/>
      <c r="F1668"/>
      <c r="G1668"/>
      <c r="I1668"/>
      <c r="J1668"/>
    </row>
    <row r="1669" spans="5:10" x14ac:dyDescent="0.2">
      <c r="E1669"/>
      <c r="F1669"/>
      <c r="G1669"/>
      <c r="I1669"/>
      <c r="J1669"/>
    </row>
    <row r="1670" spans="5:10" x14ac:dyDescent="0.2">
      <c r="E1670"/>
      <c r="F1670"/>
      <c r="G1670"/>
      <c r="I1670"/>
      <c r="J1670"/>
    </row>
    <row r="1671" spans="5:10" x14ac:dyDescent="0.2">
      <c r="E1671"/>
      <c r="F1671"/>
      <c r="G1671"/>
      <c r="I1671"/>
      <c r="J1671"/>
    </row>
    <row r="1672" spans="5:10" x14ac:dyDescent="0.2">
      <c r="E1672"/>
      <c r="F1672"/>
      <c r="G1672"/>
      <c r="I1672"/>
      <c r="J1672"/>
    </row>
    <row r="1673" spans="5:10" x14ac:dyDescent="0.2">
      <c r="E1673"/>
      <c r="F1673"/>
      <c r="G1673"/>
      <c r="I1673"/>
      <c r="J1673"/>
    </row>
    <row r="1674" spans="5:10" x14ac:dyDescent="0.2">
      <c r="E1674"/>
      <c r="F1674"/>
      <c r="G1674"/>
      <c r="I1674"/>
      <c r="J1674"/>
    </row>
    <row r="1675" spans="5:10" x14ac:dyDescent="0.2">
      <c r="E1675"/>
      <c r="F1675"/>
      <c r="G1675"/>
      <c r="I1675"/>
      <c r="J1675"/>
    </row>
    <row r="1676" spans="5:10" x14ac:dyDescent="0.2">
      <c r="E1676"/>
      <c r="F1676"/>
      <c r="G1676"/>
      <c r="I1676"/>
      <c r="J1676"/>
    </row>
    <row r="1677" spans="5:10" x14ac:dyDescent="0.2">
      <c r="E1677"/>
      <c r="F1677"/>
      <c r="G1677"/>
      <c r="I1677"/>
      <c r="J1677"/>
    </row>
    <row r="1678" spans="5:10" x14ac:dyDescent="0.2">
      <c r="E1678"/>
      <c r="F1678"/>
      <c r="G1678"/>
      <c r="I1678"/>
      <c r="J1678"/>
    </row>
    <row r="1679" spans="5:10" x14ac:dyDescent="0.2">
      <c r="E1679"/>
      <c r="F1679"/>
      <c r="G1679"/>
      <c r="I1679"/>
      <c r="J1679"/>
    </row>
    <row r="1680" spans="5:10" x14ac:dyDescent="0.2">
      <c r="E1680"/>
      <c r="F1680"/>
      <c r="G1680"/>
      <c r="I1680"/>
      <c r="J1680"/>
    </row>
    <row r="1681" spans="5:10" x14ac:dyDescent="0.2">
      <c r="E1681"/>
      <c r="F1681"/>
      <c r="G1681"/>
      <c r="I1681"/>
      <c r="J1681"/>
    </row>
    <row r="1682" spans="5:10" x14ac:dyDescent="0.2">
      <c r="E1682"/>
      <c r="F1682"/>
      <c r="G1682"/>
      <c r="I1682"/>
      <c r="J1682"/>
    </row>
    <row r="1683" spans="5:10" x14ac:dyDescent="0.2">
      <c r="E1683"/>
      <c r="F1683"/>
      <c r="G1683"/>
      <c r="I1683"/>
      <c r="J1683"/>
    </row>
    <row r="1684" spans="5:10" x14ac:dyDescent="0.2">
      <c r="E1684"/>
      <c r="F1684"/>
      <c r="G1684"/>
      <c r="I1684"/>
      <c r="J1684"/>
    </row>
    <row r="1685" spans="5:10" x14ac:dyDescent="0.2">
      <c r="E1685"/>
      <c r="F1685"/>
      <c r="G1685"/>
      <c r="I1685"/>
      <c r="J1685"/>
    </row>
    <row r="1686" spans="5:10" x14ac:dyDescent="0.2">
      <c r="E1686"/>
      <c r="F1686"/>
      <c r="G1686"/>
      <c r="I1686"/>
      <c r="J1686"/>
    </row>
    <row r="1687" spans="5:10" x14ac:dyDescent="0.2">
      <c r="E1687"/>
      <c r="F1687"/>
      <c r="G1687"/>
      <c r="I1687"/>
      <c r="J1687"/>
    </row>
    <row r="1688" spans="5:10" x14ac:dyDescent="0.2">
      <c r="E1688"/>
      <c r="F1688"/>
      <c r="G1688"/>
      <c r="I1688"/>
      <c r="J1688"/>
    </row>
    <row r="1689" spans="5:10" x14ac:dyDescent="0.2">
      <c r="E1689"/>
      <c r="F1689"/>
      <c r="G1689"/>
      <c r="I1689"/>
      <c r="J1689"/>
    </row>
    <row r="1690" spans="5:10" x14ac:dyDescent="0.2">
      <c r="E1690"/>
      <c r="F1690"/>
      <c r="G1690"/>
      <c r="I1690"/>
      <c r="J1690"/>
    </row>
    <row r="1691" spans="5:10" x14ac:dyDescent="0.2">
      <c r="E1691"/>
      <c r="F1691"/>
      <c r="G1691"/>
      <c r="I1691"/>
      <c r="J1691"/>
    </row>
    <row r="1692" spans="5:10" x14ac:dyDescent="0.2">
      <c r="E1692"/>
      <c r="F1692"/>
      <c r="G1692"/>
      <c r="I1692"/>
      <c r="J1692"/>
    </row>
    <row r="1693" spans="5:10" x14ac:dyDescent="0.2">
      <c r="E1693"/>
      <c r="F1693"/>
      <c r="G1693"/>
      <c r="I1693"/>
      <c r="J1693"/>
    </row>
    <row r="1694" spans="5:10" x14ac:dyDescent="0.2">
      <c r="E1694"/>
      <c r="F1694"/>
      <c r="G1694"/>
      <c r="I1694"/>
      <c r="J1694"/>
    </row>
    <row r="1695" spans="5:10" x14ac:dyDescent="0.2">
      <c r="E1695"/>
      <c r="F1695"/>
      <c r="G1695"/>
      <c r="I1695"/>
      <c r="J1695"/>
    </row>
    <row r="1696" spans="5:10" x14ac:dyDescent="0.2">
      <c r="E1696"/>
      <c r="F1696"/>
      <c r="G1696"/>
      <c r="I1696"/>
      <c r="J1696"/>
    </row>
    <row r="1697" spans="5:10" x14ac:dyDescent="0.2">
      <c r="E1697"/>
      <c r="F1697"/>
      <c r="G1697"/>
      <c r="I1697"/>
      <c r="J1697"/>
    </row>
    <row r="1698" spans="5:10" x14ac:dyDescent="0.2">
      <c r="E1698"/>
      <c r="F1698"/>
      <c r="G1698"/>
      <c r="I1698"/>
      <c r="J1698"/>
    </row>
    <row r="1699" spans="5:10" x14ac:dyDescent="0.2">
      <c r="E1699"/>
      <c r="F1699"/>
      <c r="G1699"/>
      <c r="I1699"/>
      <c r="J1699"/>
    </row>
    <row r="1700" spans="5:10" x14ac:dyDescent="0.2">
      <c r="E1700"/>
      <c r="F1700"/>
      <c r="G1700"/>
      <c r="I1700"/>
      <c r="J1700"/>
    </row>
    <row r="1701" spans="5:10" x14ac:dyDescent="0.2">
      <c r="E1701"/>
      <c r="F1701"/>
      <c r="G1701"/>
      <c r="I1701"/>
      <c r="J1701"/>
    </row>
    <row r="1702" spans="5:10" x14ac:dyDescent="0.2">
      <c r="E1702"/>
      <c r="F1702"/>
      <c r="G1702"/>
      <c r="I1702"/>
      <c r="J1702"/>
    </row>
    <row r="1703" spans="5:10" x14ac:dyDescent="0.2">
      <c r="E1703"/>
      <c r="F1703"/>
      <c r="G1703"/>
      <c r="I1703"/>
      <c r="J1703"/>
    </row>
    <row r="1704" spans="5:10" x14ac:dyDescent="0.2">
      <c r="E1704"/>
      <c r="F1704"/>
      <c r="G1704"/>
      <c r="I1704"/>
      <c r="J1704"/>
    </row>
    <row r="1705" spans="5:10" x14ac:dyDescent="0.2">
      <c r="E1705"/>
      <c r="F1705"/>
      <c r="G1705"/>
      <c r="I1705"/>
      <c r="J1705"/>
    </row>
    <row r="1706" spans="5:10" x14ac:dyDescent="0.2">
      <c r="E1706"/>
      <c r="F1706"/>
      <c r="G1706"/>
      <c r="I1706"/>
      <c r="J1706"/>
    </row>
    <row r="1707" spans="5:10" x14ac:dyDescent="0.2">
      <c r="E1707"/>
      <c r="F1707"/>
      <c r="G1707"/>
      <c r="I1707"/>
      <c r="J1707"/>
    </row>
    <row r="1708" spans="5:10" x14ac:dyDescent="0.2">
      <c r="E1708"/>
      <c r="F1708"/>
      <c r="G1708"/>
      <c r="I1708"/>
      <c r="J1708"/>
    </row>
    <row r="1709" spans="5:10" x14ac:dyDescent="0.2">
      <c r="E1709"/>
      <c r="F1709"/>
      <c r="G1709"/>
      <c r="I1709"/>
      <c r="J1709"/>
    </row>
    <row r="1710" spans="5:10" x14ac:dyDescent="0.2">
      <c r="E1710"/>
      <c r="F1710"/>
      <c r="G1710"/>
      <c r="I1710"/>
      <c r="J1710"/>
    </row>
    <row r="1711" spans="5:10" x14ac:dyDescent="0.2">
      <c r="E1711"/>
      <c r="F1711"/>
      <c r="G1711"/>
      <c r="I1711"/>
      <c r="J1711"/>
    </row>
    <row r="1712" spans="5:10" x14ac:dyDescent="0.2">
      <c r="E1712"/>
      <c r="F1712"/>
      <c r="G1712"/>
      <c r="I1712"/>
      <c r="J1712"/>
    </row>
    <row r="1713" spans="5:10" x14ac:dyDescent="0.2">
      <c r="E1713"/>
      <c r="F1713"/>
      <c r="G1713"/>
      <c r="I1713"/>
      <c r="J1713"/>
    </row>
    <row r="1714" spans="5:10" x14ac:dyDescent="0.2">
      <c r="E1714"/>
      <c r="F1714"/>
      <c r="G1714"/>
      <c r="I1714"/>
      <c r="J1714"/>
    </row>
    <row r="1715" spans="5:10" x14ac:dyDescent="0.2">
      <c r="E1715"/>
      <c r="F1715"/>
      <c r="G1715"/>
      <c r="I1715"/>
      <c r="J1715"/>
    </row>
    <row r="1716" spans="5:10" x14ac:dyDescent="0.2">
      <c r="E1716"/>
      <c r="F1716"/>
      <c r="G1716"/>
      <c r="I1716"/>
      <c r="J1716"/>
    </row>
    <row r="1717" spans="5:10" x14ac:dyDescent="0.2">
      <c r="E1717"/>
      <c r="F1717"/>
      <c r="G1717"/>
      <c r="I1717"/>
      <c r="J1717"/>
    </row>
    <row r="1718" spans="5:10" x14ac:dyDescent="0.2">
      <c r="E1718"/>
      <c r="F1718"/>
      <c r="G1718"/>
      <c r="I1718"/>
      <c r="J1718"/>
    </row>
    <row r="1719" spans="5:10" x14ac:dyDescent="0.2">
      <c r="E1719"/>
      <c r="F1719"/>
      <c r="G1719"/>
      <c r="I1719"/>
      <c r="J1719"/>
    </row>
    <row r="1720" spans="5:10" x14ac:dyDescent="0.2">
      <c r="E1720"/>
      <c r="F1720"/>
      <c r="G1720"/>
      <c r="I1720"/>
      <c r="J1720"/>
    </row>
    <row r="1721" spans="5:10" x14ac:dyDescent="0.2">
      <c r="E1721"/>
      <c r="F1721"/>
      <c r="G1721"/>
      <c r="I1721"/>
      <c r="J1721"/>
    </row>
    <row r="1722" spans="5:10" x14ac:dyDescent="0.2">
      <c r="E1722"/>
      <c r="F1722"/>
      <c r="G1722"/>
      <c r="I1722"/>
      <c r="J1722"/>
    </row>
    <row r="1723" spans="5:10" x14ac:dyDescent="0.2">
      <c r="E1723"/>
      <c r="F1723"/>
      <c r="G1723"/>
      <c r="I1723"/>
      <c r="J1723"/>
    </row>
    <row r="1724" spans="5:10" x14ac:dyDescent="0.2">
      <c r="E1724"/>
      <c r="F1724"/>
      <c r="G1724"/>
      <c r="I1724"/>
      <c r="J1724"/>
    </row>
    <row r="1725" spans="5:10" x14ac:dyDescent="0.2">
      <c r="E1725"/>
      <c r="F1725"/>
      <c r="G1725"/>
      <c r="I1725"/>
      <c r="J1725"/>
    </row>
    <row r="1726" spans="5:10" x14ac:dyDescent="0.2">
      <c r="E1726"/>
      <c r="F1726"/>
      <c r="G1726"/>
      <c r="I1726"/>
      <c r="J1726"/>
    </row>
    <row r="1727" spans="5:10" x14ac:dyDescent="0.2">
      <c r="E1727"/>
      <c r="F1727"/>
      <c r="G1727"/>
      <c r="I1727"/>
      <c r="J1727"/>
    </row>
    <row r="1728" spans="5:10" x14ac:dyDescent="0.2">
      <c r="E1728"/>
      <c r="F1728"/>
      <c r="G1728"/>
      <c r="I1728"/>
      <c r="J1728"/>
    </row>
    <row r="1729" spans="5:10" x14ac:dyDescent="0.2">
      <c r="E1729"/>
      <c r="F1729"/>
      <c r="G1729"/>
      <c r="I1729"/>
      <c r="J1729"/>
    </row>
    <row r="1730" spans="5:10" x14ac:dyDescent="0.2">
      <c r="E1730"/>
      <c r="F1730"/>
      <c r="G1730"/>
      <c r="I1730"/>
      <c r="J1730"/>
    </row>
    <row r="1731" spans="5:10" x14ac:dyDescent="0.2">
      <c r="E1731"/>
      <c r="F1731"/>
      <c r="G1731"/>
      <c r="I1731"/>
      <c r="J1731"/>
    </row>
    <row r="1732" spans="5:10" x14ac:dyDescent="0.2">
      <c r="E1732"/>
      <c r="F1732"/>
      <c r="G1732"/>
      <c r="I1732"/>
      <c r="J1732"/>
    </row>
    <row r="1733" spans="5:10" x14ac:dyDescent="0.2">
      <c r="E1733"/>
      <c r="F1733"/>
      <c r="G1733"/>
      <c r="I1733"/>
      <c r="J1733"/>
    </row>
    <row r="1734" spans="5:10" x14ac:dyDescent="0.2">
      <c r="E1734"/>
      <c r="F1734"/>
      <c r="G1734"/>
      <c r="I1734"/>
      <c r="J1734"/>
    </row>
    <row r="1735" spans="5:10" x14ac:dyDescent="0.2">
      <c r="E1735"/>
      <c r="F1735"/>
      <c r="G1735"/>
      <c r="I1735"/>
      <c r="J1735"/>
    </row>
    <row r="1736" spans="5:10" x14ac:dyDescent="0.2">
      <c r="E1736"/>
      <c r="F1736"/>
      <c r="G1736"/>
      <c r="I1736"/>
      <c r="J1736"/>
    </row>
    <row r="1737" spans="5:10" x14ac:dyDescent="0.2">
      <c r="E1737"/>
      <c r="F1737"/>
      <c r="G1737"/>
      <c r="I1737"/>
      <c r="J1737"/>
    </row>
    <row r="1738" spans="5:10" x14ac:dyDescent="0.2">
      <c r="E1738"/>
      <c r="F1738"/>
      <c r="G1738"/>
      <c r="I1738"/>
      <c r="J1738"/>
    </row>
    <row r="1739" spans="5:10" x14ac:dyDescent="0.2">
      <c r="E1739"/>
      <c r="F1739"/>
      <c r="G1739"/>
      <c r="I1739"/>
      <c r="J1739"/>
    </row>
    <row r="1740" spans="5:10" x14ac:dyDescent="0.2">
      <c r="E1740"/>
      <c r="F1740"/>
      <c r="G1740"/>
      <c r="I1740"/>
      <c r="J1740"/>
    </row>
    <row r="1741" spans="5:10" x14ac:dyDescent="0.2">
      <c r="E1741"/>
      <c r="F1741"/>
      <c r="G1741"/>
      <c r="I1741"/>
      <c r="J1741"/>
    </row>
    <row r="1742" spans="5:10" x14ac:dyDescent="0.2">
      <c r="E1742"/>
      <c r="F1742"/>
      <c r="G1742"/>
      <c r="I1742"/>
      <c r="J1742"/>
    </row>
    <row r="1743" spans="5:10" x14ac:dyDescent="0.2">
      <c r="E1743"/>
      <c r="F1743"/>
      <c r="G1743"/>
      <c r="I1743"/>
      <c r="J1743"/>
    </row>
    <row r="1744" spans="5:10" x14ac:dyDescent="0.2">
      <c r="E1744"/>
      <c r="F1744"/>
      <c r="G1744"/>
      <c r="I1744"/>
      <c r="J1744"/>
    </row>
    <row r="1745" spans="5:10" x14ac:dyDescent="0.2">
      <c r="E1745"/>
      <c r="F1745"/>
      <c r="G1745"/>
      <c r="I1745"/>
      <c r="J1745"/>
    </row>
    <row r="1746" spans="5:10" x14ac:dyDescent="0.2">
      <c r="E1746"/>
      <c r="F1746"/>
      <c r="G1746"/>
      <c r="I1746"/>
      <c r="J1746"/>
    </row>
    <row r="1747" spans="5:10" x14ac:dyDescent="0.2">
      <c r="E1747"/>
      <c r="F1747"/>
      <c r="G1747"/>
      <c r="I1747"/>
      <c r="J1747"/>
    </row>
    <row r="1748" spans="5:10" x14ac:dyDescent="0.2">
      <c r="E1748"/>
      <c r="F1748"/>
      <c r="G1748"/>
      <c r="I1748"/>
      <c r="J1748"/>
    </row>
    <row r="1749" spans="5:10" x14ac:dyDescent="0.2">
      <c r="E1749"/>
      <c r="F1749"/>
      <c r="G1749"/>
      <c r="I1749"/>
      <c r="J1749"/>
    </row>
    <row r="1750" spans="5:10" x14ac:dyDescent="0.2">
      <c r="E1750"/>
      <c r="F1750"/>
      <c r="G1750"/>
      <c r="I1750"/>
      <c r="J1750"/>
    </row>
    <row r="1751" spans="5:10" x14ac:dyDescent="0.2">
      <c r="E1751"/>
      <c r="F1751"/>
      <c r="G1751"/>
      <c r="I1751"/>
      <c r="J1751"/>
    </row>
    <row r="1752" spans="5:10" x14ac:dyDescent="0.2">
      <c r="E1752"/>
      <c r="F1752"/>
      <c r="G1752"/>
      <c r="I1752"/>
      <c r="J1752"/>
    </row>
    <row r="1753" spans="5:10" x14ac:dyDescent="0.2">
      <c r="E1753"/>
      <c r="F1753"/>
      <c r="G1753"/>
      <c r="I1753"/>
      <c r="J1753"/>
    </row>
    <row r="1754" spans="5:10" x14ac:dyDescent="0.2">
      <c r="E1754"/>
      <c r="F1754"/>
      <c r="G1754"/>
      <c r="I1754"/>
      <c r="J1754"/>
    </row>
    <row r="1755" spans="5:10" x14ac:dyDescent="0.2">
      <c r="E1755"/>
      <c r="F1755"/>
      <c r="G1755"/>
      <c r="I1755"/>
      <c r="J1755"/>
    </row>
    <row r="1756" spans="5:10" x14ac:dyDescent="0.2">
      <c r="E1756"/>
      <c r="F1756"/>
      <c r="G1756"/>
      <c r="I1756"/>
      <c r="J1756"/>
    </row>
    <row r="1757" spans="5:10" x14ac:dyDescent="0.2">
      <c r="E1757"/>
      <c r="F1757"/>
      <c r="G1757"/>
      <c r="I1757"/>
      <c r="J1757"/>
    </row>
    <row r="1758" spans="5:10" x14ac:dyDescent="0.2">
      <c r="E1758"/>
      <c r="F1758"/>
      <c r="G1758"/>
      <c r="I1758"/>
      <c r="J1758"/>
    </row>
    <row r="1759" spans="5:10" x14ac:dyDescent="0.2">
      <c r="E1759"/>
      <c r="F1759"/>
      <c r="G1759"/>
      <c r="I1759"/>
      <c r="J1759"/>
    </row>
    <row r="1760" spans="5:10" x14ac:dyDescent="0.2">
      <c r="E1760"/>
      <c r="F1760"/>
      <c r="G1760"/>
      <c r="I1760"/>
      <c r="J1760"/>
    </row>
    <row r="1761" spans="5:10" x14ac:dyDescent="0.2">
      <c r="E1761"/>
      <c r="F1761"/>
      <c r="G1761"/>
      <c r="I1761"/>
      <c r="J1761"/>
    </row>
    <row r="1762" spans="5:10" x14ac:dyDescent="0.2">
      <c r="E1762"/>
      <c r="F1762"/>
      <c r="G1762"/>
      <c r="I1762"/>
      <c r="J1762"/>
    </row>
    <row r="1763" spans="5:10" x14ac:dyDescent="0.2">
      <c r="E1763"/>
      <c r="F1763"/>
      <c r="G1763"/>
      <c r="I1763"/>
      <c r="J1763"/>
    </row>
    <row r="1764" spans="5:10" x14ac:dyDescent="0.2">
      <c r="E1764"/>
      <c r="F1764"/>
      <c r="G1764"/>
      <c r="I1764"/>
      <c r="J1764"/>
    </row>
    <row r="1765" spans="5:10" x14ac:dyDescent="0.2">
      <c r="E1765"/>
      <c r="F1765"/>
      <c r="G1765"/>
      <c r="I1765"/>
      <c r="J1765"/>
    </row>
    <row r="1766" spans="5:10" x14ac:dyDescent="0.2">
      <c r="E1766"/>
      <c r="F1766"/>
      <c r="G1766"/>
      <c r="I1766"/>
      <c r="J1766"/>
    </row>
    <row r="1767" spans="5:10" x14ac:dyDescent="0.2">
      <c r="E1767"/>
      <c r="F1767"/>
      <c r="G1767"/>
      <c r="I1767"/>
      <c r="J1767"/>
    </row>
    <row r="1768" spans="5:10" x14ac:dyDescent="0.2">
      <c r="E1768"/>
      <c r="F1768"/>
      <c r="G1768"/>
      <c r="I1768"/>
      <c r="J1768"/>
    </row>
    <row r="1769" spans="5:10" x14ac:dyDescent="0.2">
      <c r="E1769"/>
      <c r="F1769"/>
      <c r="G1769"/>
      <c r="I1769"/>
      <c r="J1769"/>
    </row>
    <row r="1770" spans="5:10" x14ac:dyDescent="0.2">
      <c r="E1770"/>
      <c r="F1770"/>
      <c r="G1770"/>
      <c r="I1770"/>
      <c r="J1770"/>
    </row>
    <row r="1771" spans="5:10" x14ac:dyDescent="0.2">
      <c r="E1771"/>
      <c r="F1771"/>
      <c r="G1771"/>
      <c r="I1771"/>
      <c r="J1771"/>
    </row>
    <row r="1772" spans="5:10" x14ac:dyDescent="0.2">
      <c r="E1772"/>
      <c r="F1772"/>
      <c r="G1772"/>
      <c r="I1772"/>
      <c r="J1772"/>
    </row>
    <row r="1773" spans="5:10" x14ac:dyDescent="0.2">
      <c r="E1773"/>
      <c r="F1773"/>
      <c r="G1773"/>
      <c r="I1773"/>
      <c r="J1773"/>
    </row>
    <row r="1774" spans="5:10" x14ac:dyDescent="0.2">
      <c r="E1774"/>
      <c r="F1774"/>
      <c r="G1774"/>
      <c r="I1774"/>
      <c r="J1774"/>
    </row>
    <row r="1775" spans="5:10" x14ac:dyDescent="0.2">
      <c r="E1775"/>
      <c r="F1775"/>
      <c r="G1775"/>
      <c r="I1775"/>
      <c r="J1775"/>
    </row>
    <row r="1776" spans="5:10" x14ac:dyDescent="0.2">
      <c r="E1776"/>
      <c r="F1776"/>
      <c r="G1776"/>
      <c r="I1776"/>
      <c r="J1776"/>
    </row>
    <row r="1777" spans="5:10" x14ac:dyDescent="0.2">
      <c r="E1777"/>
      <c r="F1777"/>
      <c r="G1777"/>
      <c r="I1777"/>
      <c r="J1777"/>
    </row>
    <row r="1778" spans="5:10" x14ac:dyDescent="0.2">
      <c r="E1778"/>
      <c r="F1778"/>
      <c r="G1778"/>
      <c r="I1778"/>
      <c r="J1778"/>
    </row>
    <row r="1779" spans="5:10" x14ac:dyDescent="0.2">
      <c r="E1779"/>
      <c r="F1779"/>
      <c r="G1779"/>
      <c r="I1779"/>
      <c r="J1779"/>
    </row>
    <row r="1780" spans="5:10" x14ac:dyDescent="0.2">
      <c r="E1780"/>
      <c r="F1780"/>
      <c r="G1780"/>
      <c r="I1780"/>
      <c r="J1780"/>
    </row>
    <row r="1781" spans="5:10" x14ac:dyDescent="0.2">
      <c r="E1781"/>
      <c r="F1781"/>
      <c r="G1781"/>
      <c r="I1781"/>
      <c r="J1781"/>
    </row>
    <row r="1782" spans="5:10" x14ac:dyDescent="0.2">
      <c r="E1782"/>
      <c r="F1782"/>
      <c r="G1782"/>
      <c r="I1782"/>
      <c r="J1782"/>
    </row>
    <row r="1783" spans="5:10" x14ac:dyDescent="0.2">
      <c r="E1783"/>
      <c r="F1783"/>
      <c r="G1783"/>
      <c r="I1783"/>
      <c r="J1783"/>
    </row>
    <row r="1784" spans="5:10" x14ac:dyDescent="0.2">
      <c r="E1784"/>
      <c r="F1784"/>
      <c r="G1784"/>
      <c r="I1784"/>
      <c r="J1784"/>
    </row>
    <row r="1785" spans="5:10" x14ac:dyDescent="0.2">
      <c r="E1785"/>
      <c r="F1785"/>
      <c r="G1785"/>
      <c r="I1785"/>
      <c r="J1785"/>
    </row>
    <row r="1786" spans="5:10" x14ac:dyDescent="0.2">
      <c r="E1786"/>
      <c r="F1786"/>
      <c r="G1786"/>
      <c r="I1786"/>
      <c r="J1786"/>
    </row>
    <row r="1787" spans="5:10" x14ac:dyDescent="0.2">
      <c r="E1787"/>
      <c r="F1787"/>
      <c r="G1787"/>
      <c r="I1787"/>
      <c r="J1787"/>
    </row>
    <row r="1788" spans="5:10" x14ac:dyDescent="0.2">
      <c r="E1788"/>
      <c r="F1788"/>
      <c r="G1788"/>
      <c r="I1788"/>
      <c r="J1788"/>
    </row>
    <row r="1789" spans="5:10" x14ac:dyDescent="0.2">
      <c r="E1789"/>
      <c r="F1789"/>
      <c r="G1789"/>
      <c r="I1789"/>
      <c r="J1789"/>
    </row>
    <row r="1790" spans="5:10" x14ac:dyDescent="0.2">
      <c r="E1790"/>
      <c r="F1790"/>
      <c r="G1790"/>
      <c r="I1790"/>
      <c r="J1790"/>
    </row>
    <row r="1791" spans="5:10" x14ac:dyDescent="0.2">
      <c r="E1791"/>
      <c r="F1791"/>
      <c r="G1791"/>
      <c r="I1791"/>
      <c r="J1791"/>
    </row>
    <row r="1792" spans="5:10" x14ac:dyDescent="0.2">
      <c r="E1792"/>
      <c r="F1792"/>
      <c r="G1792"/>
      <c r="I1792"/>
      <c r="J1792"/>
    </row>
    <row r="1793" spans="5:10" x14ac:dyDescent="0.2">
      <c r="E1793"/>
      <c r="F1793"/>
      <c r="G1793"/>
      <c r="I1793"/>
      <c r="J1793"/>
    </row>
    <row r="1794" spans="5:10" x14ac:dyDescent="0.2">
      <c r="E1794"/>
      <c r="F1794"/>
      <c r="G1794"/>
      <c r="I1794"/>
      <c r="J1794"/>
    </row>
    <row r="1795" spans="5:10" x14ac:dyDescent="0.2">
      <c r="E1795"/>
      <c r="F1795"/>
      <c r="G1795"/>
      <c r="I1795"/>
      <c r="J1795"/>
    </row>
    <row r="1796" spans="5:10" x14ac:dyDescent="0.2">
      <c r="E1796"/>
      <c r="F1796"/>
      <c r="G1796"/>
      <c r="I1796"/>
      <c r="J1796"/>
    </row>
    <row r="1797" spans="5:10" x14ac:dyDescent="0.2">
      <c r="E1797"/>
      <c r="F1797"/>
      <c r="G1797"/>
      <c r="I1797"/>
      <c r="J1797"/>
    </row>
    <row r="1798" spans="5:10" x14ac:dyDescent="0.2">
      <c r="E1798"/>
      <c r="F1798"/>
      <c r="G1798"/>
      <c r="I1798"/>
      <c r="J1798"/>
    </row>
    <row r="1799" spans="5:10" x14ac:dyDescent="0.2">
      <c r="E1799"/>
      <c r="F1799"/>
      <c r="G1799"/>
      <c r="I1799"/>
      <c r="J1799"/>
    </row>
    <row r="1800" spans="5:10" x14ac:dyDescent="0.2">
      <c r="E1800"/>
      <c r="F1800"/>
      <c r="G1800"/>
      <c r="I1800"/>
      <c r="J1800"/>
    </row>
    <row r="1801" spans="5:10" x14ac:dyDescent="0.2">
      <c r="E1801"/>
      <c r="F1801"/>
      <c r="G1801"/>
      <c r="I1801"/>
      <c r="J1801"/>
    </row>
    <row r="1802" spans="5:10" x14ac:dyDescent="0.2">
      <c r="E1802"/>
      <c r="F1802"/>
      <c r="G1802"/>
      <c r="I1802"/>
      <c r="J1802"/>
    </row>
    <row r="1803" spans="5:10" x14ac:dyDescent="0.2">
      <c r="E1803"/>
      <c r="F1803"/>
      <c r="G1803"/>
      <c r="I1803"/>
      <c r="J1803"/>
    </row>
    <row r="1804" spans="5:10" x14ac:dyDescent="0.2">
      <c r="E1804"/>
      <c r="F1804"/>
      <c r="G1804"/>
      <c r="I1804"/>
      <c r="J1804"/>
    </row>
    <row r="1805" spans="5:10" x14ac:dyDescent="0.2">
      <c r="E1805"/>
      <c r="F1805"/>
      <c r="G1805"/>
      <c r="I1805"/>
      <c r="J1805"/>
    </row>
    <row r="1806" spans="5:10" x14ac:dyDescent="0.2">
      <c r="E1806"/>
      <c r="F1806"/>
      <c r="G1806"/>
      <c r="I1806"/>
      <c r="J1806"/>
    </row>
    <row r="1807" spans="5:10" x14ac:dyDescent="0.2">
      <c r="E1807"/>
      <c r="F1807"/>
      <c r="G1807"/>
      <c r="I1807"/>
      <c r="J1807"/>
    </row>
    <row r="1808" spans="5:10" x14ac:dyDescent="0.2">
      <c r="E1808"/>
      <c r="F1808"/>
      <c r="G1808"/>
      <c r="I1808"/>
      <c r="J1808"/>
    </row>
    <row r="1809" spans="5:10" x14ac:dyDescent="0.2">
      <c r="E1809"/>
      <c r="F1809"/>
      <c r="G1809"/>
      <c r="I1809"/>
      <c r="J1809"/>
    </row>
    <row r="1810" spans="5:10" x14ac:dyDescent="0.2">
      <c r="E1810"/>
      <c r="F1810"/>
      <c r="G1810"/>
      <c r="I1810"/>
      <c r="J1810"/>
    </row>
    <row r="1811" spans="5:10" x14ac:dyDescent="0.2">
      <c r="E1811"/>
      <c r="F1811"/>
      <c r="G1811"/>
      <c r="I1811"/>
      <c r="J1811"/>
    </row>
    <row r="1812" spans="5:10" x14ac:dyDescent="0.2">
      <c r="E1812"/>
      <c r="F1812"/>
      <c r="G1812"/>
      <c r="I1812"/>
      <c r="J1812"/>
    </row>
    <row r="1813" spans="5:10" x14ac:dyDescent="0.2">
      <c r="E1813"/>
      <c r="F1813"/>
      <c r="G1813"/>
      <c r="I1813"/>
      <c r="J1813"/>
    </row>
    <row r="1814" spans="5:10" x14ac:dyDescent="0.2">
      <c r="E1814"/>
      <c r="F1814"/>
      <c r="G1814"/>
      <c r="I1814"/>
      <c r="J1814"/>
    </row>
    <row r="1815" spans="5:10" x14ac:dyDescent="0.2">
      <c r="E1815"/>
      <c r="F1815"/>
      <c r="G1815"/>
      <c r="I1815"/>
      <c r="J1815"/>
    </row>
    <row r="1816" spans="5:10" x14ac:dyDescent="0.2">
      <c r="E1816"/>
      <c r="F1816"/>
      <c r="G1816"/>
      <c r="I1816"/>
      <c r="J1816"/>
    </row>
    <row r="1817" spans="5:10" x14ac:dyDescent="0.2">
      <c r="E1817"/>
      <c r="F1817"/>
      <c r="G1817"/>
      <c r="I1817"/>
      <c r="J1817"/>
    </row>
    <row r="1818" spans="5:10" x14ac:dyDescent="0.2">
      <c r="E1818"/>
      <c r="F1818"/>
      <c r="G1818"/>
      <c r="I1818"/>
      <c r="J1818"/>
    </row>
    <row r="1819" spans="5:10" x14ac:dyDescent="0.2">
      <c r="E1819"/>
      <c r="F1819"/>
      <c r="G1819"/>
      <c r="I1819"/>
      <c r="J1819"/>
    </row>
    <row r="1820" spans="5:10" x14ac:dyDescent="0.2">
      <c r="E1820"/>
      <c r="F1820"/>
      <c r="G1820"/>
      <c r="I1820"/>
      <c r="J1820"/>
    </row>
    <row r="1821" spans="5:10" x14ac:dyDescent="0.2">
      <c r="E1821"/>
      <c r="F1821"/>
      <c r="G1821"/>
      <c r="I1821"/>
      <c r="J1821"/>
    </row>
    <row r="1822" spans="5:10" x14ac:dyDescent="0.2">
      <c r="E1822"/>
      <c r="F1822"/>
      <c r="G1822"/>
      <c r="I1822"/>
      <c r="J1822"/>
    </row>
    <row r="1823" spans="5:10" x14ac:dyDescent="0.2">
      <c r="E1823"/>
      <c r="F1823"/>
      <c r="G1823"/>
      <c r="I1823"/>
      <c r="J1823"/>
    </row>
    <row r="1824" spans="5:10" x14ac:dyDescent="0.2">
      <c r="E1824"/>
      <c r="F1824"/>
      <c r="G1824"/>
      <c r="I1824"/>
      <c r="J1824"/>
    </row>
    <row r="1825" spans="5:10" x14ac:dyDescent="0.2">
      <c r="E1825"/>
      <c r="F1825"/>
      <c r="G1825"/>
      <c r="I1825"/>
      <c r="J1825"/>
    </row>
    <row r="1826" spans="5:10" x14ac:dyDescent="0.2">
      <c r="E1826"/>
      <c r="F1826"/>
      <c r="G1826"/>
      <c r="I1826"/>
      <c r="J1826"/>
    </row>
    <row r="1827" spans="5:10" x14ac:dyDescent="0.2">
      <c r="E1827"/>
      <c r="F1827"/>
      <c r="G1827"/>
      <c r="I1827"/>
      <c r="J1827"/>
    </row>
    <row r="1828" spans="5:10" x14ac:dyDescent="0.2">
      <c r="E1828"/>
      <c r="F1828"/>
      <c r="G1828"/>
      <c r="I1828"/>
      <c r="J1828"/>
    </row>
    <row r="1829" spans="5:10" x14ac:dyDescent="0.2">
      <c r="E1829"/>
      <c r="F1829"/>
      <c r="G1829"/>
      <c r="I1829"/>
      <c r="J1829"/>
    </row>
    <row r="1830" spans="5:10" x14ac:dyDescent="0.2">
      <c r="E1830"/>
      <c r="F1830"/>
      <c r="G1830"/>
      <c r="I1830"/>
      <c r="J1830"/>
    </row>
    <row r="1831" spans="5:10" x14ac:dyDescent="0.2">
      <c r="E1831"/>
      <c r="F1831"/>
      <c r="G1831"/>
      <c r="I1831"/>
      <c r="J1831"/>
    </row>
    <row r="1832" spans="5:10" x14ac:dyDescent="0.2">
      <c r="E1832"/>
      <c r="F1832"/>
      <c r="G1832"/>
      <c r="I1832"/>
      <c r="J1832"/>
    </row>
    <row r="1833" spans="5:10" x14ac:dyDescent="0.2">
      <c r="E1833"/>
      <c r="F1833"/>
      <c r="G1833"/>
      <c r="I1833"/>
      <c r="J1833"/>
    </row>
    <row r="1834" spans="5:10" x14ac:dyDescent="0.2">
      <c r="E1834"/>
      <c r="F1834"/>
      <c r="G1834"/>
      <c r="I1834"/>
      <c r="J1834"/>
    </row>
    <row r="1835" spans="5:10" x14ac:dyDescent="0.2">
      <c r="E1835"/>
      <c r="F1835"/>
      <c r="G1835"/>
      <c r="I1835"/>
      <c r="J1835"/>
    </row>
    <row r="1836" spans="5:10" x14ac:dyDescent="0.2">
      <c r="E1836"/>
      <c r="F1836"/>
      <c r="G1836"/>
      <c r="I1836"/>
      <c r="J1836"/>
    </row>
    <row r="1837" spans="5:10" x14ac:dyDescent="0.2">
      <c r="E1837"/>
      <c r="F1837"/>
      <c r="G1837"/>
      <c r="I1837"/>
      <c r="J1837"/>
    </row>
    <row r="1838" spans="5:10" x14ac:dyDescent="0.2">
      <c r="E1838"/>
      <c r="F1838"/>
      <c r="G1838"/>
      <c r="I1838"/>
      <c r="J1838"/>
    </row>
    <row r="1839" spans="5:10" x14ac:dyDescent="0.2">
      <c r="E1839"/>
      <c r="F1839"/>
      <c r="G1839"/>
      <c r="I1839"/>
      <c r="J1839"/>
    </row>
    <row r="1840" spans="5:10" x14ac:dyDescent="0.2">
      <c r="E1840"/>
      <c r="F1840"/>
      <c r="G1840"/>
      <c r="I1840"/>
      <c r="J1840"/>
    </row>
    <row r="1841" spans="5:10" x14ac:dyDescent="0.2">
      <c r="E1841"/>
      <c r="F1841"/>
      <c r="G1841"/>
      <c r="I1841"/>
      <c r="J1841"/>
    </row>
    <row r="1842" spans="5:10" x14ac:dyDescent="0.2">
      <c r="E1842"/>
      <c r="F1842"/>
      <c r="G1842"/>
      <c r="I1842"/>
      <c r="J1842"/>
    </row>
    <row r="1843" spans="5:10" x14ac:dyDescent="0.2">
      <c r="E1843"/>
      <c r="F1843"/>
      <c r="G1843"/>
      <c r="I1843"/>
      <c r="J1843"/>
    </row>
    <row r="1844" spans="5:10" x14ac:dyDescent="0.2">
      <c r="E1844"/>
      <c r="F1844"/>
      <c r="G1844"/>
      <c r="I1844"/>
      <c r="J1844"/>
    </row>
    <row r="1845" spans="5:10" x14ac:dyDescent="0.2">
      <c r="E1845"/>
      <c r="F1845"/>
      <c r="G1845"/>
      <c r="I1845"/>
      <c r="J1845"/>
    </row>
    <row r="1846" spans="5:10" x14ac:dyDescent="0.2">
      <c r="E1846"/>
      <c r="F1846"/>
      <c r="G1846"/>
      <c r="I1846"/>
      <c r="J1846"/>
    </row>
    <row r="1847" spans="5:10" x14ac:dyDescent="0.2">
      <c r="E1847"/>
      <c r="F1847"/>
      <c r="G1847"/>
      <c r="I1847"/>
      <c r="J1847"/>
    </row>
    <row r="1848" spans="5:10" x14ac:dyDescent="0.2">
      <c r="E1848"/>
      <c r="F1848"/>
      <c r="G1848"/>
      <c r="I1848"/>
      <c r="J1848"/>
    </row>
    <row r="1849" spans="5:10" x14ac:dyDescent="0.2">
      <c r="E1849"/>
      <c r="F1849"/>
      <c r="G1849"/>
      <c r="I1849"/>
      <c r="J1849"/>
    </row>
    <row r="1850" spans="5:10" x14ac:dyDescent="0.2">
      <c r="E1850"/>
      <c r="F1850"/>
      <c r="G1850"/>
      <c r="I1850"/>
      <c r="J1850"/>
    </row>
    <row r="1851" spans="5:10" x14ac:dyDescent="0.2">
      <c r="E1851"/>
      <c r="F1851"/>
      <c r="G1851"/>
      <c r="I1851"/>
      <c r="J1851"/>
    </row>
    <row r="1852" spans="5:10" x14ac:dyDescent="0.2">
      <c r="E1852"/>
      <c r="F1852"/>
      <c r="G1852"/>
      <c r="I1852"/>
      <c r="J1852"/>
    </row>
    <row r="1853" spans="5:10" x14ac:dyDescent="0.2">
      <c r="E1853"/>
      <c r="F1853"/>
      <c r="G1853"/>
      <c r="I1853"/>
      <c r="J1853"/>
    </row>
    <row r="1854" spans="5:10" x14ac:dyDescent="0.2">
      <c r="E1854"/>
      <c r="F1854"/>
      <c r="G1854"/>
      <c r="I1854"/>
      <c r="J1854"/>
    </row>
    <row r="1855" spans="5:10" x14ac:dyDescent="0.2">
      <c r="E1855"/>
      <c r="F1855"/>
      <c r="G1855"/>
      <c r="I1855"/>
      <c r="J1855"/>
    </row>
    <row r="1856" spans="5:10" x14ac:dyDescent="0.2">
      <c r="E1856"/>
      <c r="F1856"/>
      <c r="G1856"/>
      <c r="I1856"/>
      <c r="J1856"/>
    </row>
    <row r="1857" spans="5:10" x14ac:dyDescent="0.2">
      <c r="E1857"/>
      <c r="F1857"/>
      <c r="G1857"/>
      <c r="I1857"/>
      <c r="J1857"/>
    </row>
    <row r="1858" spans="5:10" x14ac:dyDescent="0.2">
      <c r="E1858"/>
      <c r="F1858"/>
      <c r="G1858"/>
      <c r="I1858"/>
      <c r="J1858"/>
    </row>
    <row r="1859" spans="5:10" x14ac:dyDescent="0.2">
      <c r="E1859"/>
      <c r="F1859"/>
      <c r="G1859"/>
      <c r="I1859"/>
      <c r="J1859"/>
    </row>
    <row r="1860" spans="5:10" x14ac:dyDescent="0.2">
      <c r="E1860"/>
      <c r="F1860"/>
      <c r="G1860"/>
      <c r="I1860"/>
      <c r="J1860"/>
    </row>
    <row r="1861" spans="5:10" x14ac:dyDescent="0.2">
      <c r="E1861"/>
      <c r="F1861"/>
      <c r="G1861"/>
      <c r="I1861"/>
      <c r="J1861"/>
    </row>
    <row r="1862" spans="5:10" x14ac:dyDescent="0.2">
      <c r="E1862"/>
      <c r="F1862"/>
      <c r="G1862"/>
      <c r="I1862"/>
      <c r="J1862"/>
    </row>
    <row r="1863" spans="5:10" x14ac:dyDescent="0.2">
      <c r="E1863"/>
      <c r="F1863"/>
      <c r="G1863"/>
      <c r="I1863"/>
      <c r="J1863"/>
    </row>
    <row r="1864" spans="5:10" x14ac:dyDescent="0.2">
      <c r="E1864"/>
      <c r="F1864"/>
      <c r="G1864"/>
      <c r="I1864"/>
      <c r="J1864"/>
    </row>
    <row r="1865" spans="5:10" x14ac:dyDescent="0.2">
      <c r="E1865"/>
      <c r="F1865"/>
      <c r="G1865"/>
      <c r="I1865"/>
      <c r="J1865"/>
    </row>
    <row r="1866" spans="5:10" x14ac:dyDescent="0.2">
      <c r="E1866"/>
      <c r="F1866"/>
      <c r="G1866"/>
      <c r="I1866"/>
      <c r="J1866"/>
    </row>
    <row r="1867" spans="5:10" x14ac:dyDescent="0.2">
      <c r="E1867"/>
      <c r="F1867"/>
      <c r="G1867"/>
      <c r="I1867"/>
      <c r="J1867"/>
    </row>
    <row r="1868" spans="5:10" x14ac:dyDescent="0.2">
      <c r="E1868"/>
      <c r="F1868"/>
      <c r="G1868"/>
      <c r="I1868"/>
      <c r="J1868"/>
    </row>
    <row r="1869" spans="5:10" x14ac:dyDescent="0.2">
      <c r="E1869"/>
      <c r="F1869"/>
      <c r="G1869"/>
      <c r="I1869"/>
      <c r="J1869"/>
    </row>
    <row r="1870" spans="5:10" x14ac:dyDescent="0.2">
      <c r="E1870"/>
      <c r="F1870"/>
      <c r="G1870"/>
      <c r="I1870"/>
      <c r="J1870"/>
    </row>
    <row r="1871" spans="5:10" x14ac:dyDescent="0.2">
      <c r="E1871"/>
      <c r="F1871"/>
      <c r="G1871"/>
      <c r="I1871"/>
      <c r="J1871"/>
    </row>
    <row r="1872" spans="5:10" x14ac:dyDescent="0.2">
      <c r="E1872"/>
      <c r="F1872"/>
      <c r="G1872"/>
      <c r="I1872"/>
      <c r="J1872"/>
    </row>
    <row r="1873" spans="5:10" x14ac:dyDescent="0.2">
      <c r="E1873"/>
      <c r="F1873"/>
      <c r="G1873"/>
      <c r="I1873"/>
      <c r="J1873"/>
    </row>
    <row r="1874" spans="5:10" x14ac:dyDescent="0.2">
      <c r="E1874"/>
      <c r="F1874"/>
      <c r="G1874"/>
      <c r="I1874"/>
      <c r="J1874"/>
    </row>
    <row r="1875" spans="5:10" x14ac:dyDescent="0.2">
      <c r="E1875"/>
      <c r="F1875"/>
      <c r="G1875"/>
      <c r="I1875"/>
      <c r="J1875"/>
    </row>
    <row r="1876" spans="5:10" x14ac:dyDescent="0.2">
      <c r="E1876"/>
      <c r="F1876"/>
      <c r="G1876"/>
      <c r="I1876"/>
      <c r="J1876"/>
    </row>
    <row r="1877" spans="5:10" x14ac:dyDescent="0.2">
      <c r="E1877"/>
      <c r="F1877"/>
      <c r="G1877"/>
      <c r="I1877"/>
      <c r="J1877"/>
    </row>
    <row r="1878" spans="5:10" x14ac:dyDescent="0.2">
      <c r="E1878"/>
      <c r="F1878"/>
      <c r="G1878"/>
      <c r="I1878"/>
      <c r="J1878"/>
    </row>
    <row r="1879" spans="5:10" x14ac:dyDescent="0.2">
      <c r="E1879"/>
      <c r="F1879"/>
      <c r="G1879"/>
      <c r="I1879"/>
      <c r="J1879"/>
    </row>
    <row r="1880" spans="5:10" x14ac:dyDescent="0.2">
      <c r="E1880"/>
      <c r="F1880"/>
      <c r="G1880"/>
      <c r="I1880"/>
      <c r="J1880"/>
    </row>
    <row r="1881" spans="5:10" x14ac:dyDescent="0.2">
      <c r="E1881"/>
      <c r="F1881"/>
      <c r="G1881"/>
      <c r="I1881"/>
      <c r="J1881"/>
    </row>
    <row r="1882" spans="5:10" x14ac:dyDescent="0.2">
      <c r="E1882"/>
      <c r="F1882"/>
      <c r="G1882"/>
      <c r="I1882"/>
      <c r="J1882"/>
    </row>
    <row r="1883" spans="5:10" x14ac:dyDescent="0.2">
      <c r="E1883"/>
      <c r="F1883"/>
      <c r="G1883"/>
      <c r="I1883"/>
      <c r="J1883"/>
    </row>
    <row r="1884" spans="5:10" x14ac:dyDescent="0.2">
      <c r="E1884"/>
      <c r="F1884"/>
      <c r="G1884"/>
      <c r="I1884"/>
      <c r="J1884"/>
    </row>
    <row r="1885" spans="5:10" x14ac:dyDescent="0.2">
      <c r="E1885"/>
      <c r="F1885"/>
      <c r="G1885"/>
      <c r="I1885"/>
      <c r="J1885"/>
    </row>
    <row r="1886" spans="5:10" x14ac:dyDescent="0.2">
      <c r="E1886"/>
      <c r="F1886"/>
      <c r="G1886"/>
      <c r="I1886"/>
      <c r="J1886"/>
    </row>
    <row r="1887" spans="5:10" x14ac:dyDescent="0.2">
      <c r="E1887"/>
      <c r="F1887"/>
      <c r="G1887"/>
      <c r="I1887"/>
      <c r="J1887"/>
    </row>
    <row r="1888" spans="5:10" x14ac:dyDescent="0.2">
      <c r="E1888"/>
      <c r="F1888"/>
      <c r="G1888"/>
      <c r="I1888"/>
      <c r="J1888"/>
    </row>
    <row r="1889" spans="5:10" x14ac:dyDescent="0.2">
      <c r="E1889"/>
      <c r="F1889"/>
      <c r="G1889"/>
      <c r="I1889"/>
      <c r="J1889"/>
    </row>
    <row r="1890" spans="5:10" x14ac:dyDescent="0.2">
      <c r="E1890"/>
      <c r="F1890"/>
      <c r="G1890"/>
      <c r="I1890"/>
      <c r="J1890"/>
    </row>
    <row r="1891" spans="5:10" x14ac:dyDescent="0.2">
      <c r="E1891"/>
      <c r="F1891"/>
      <c r="G1891"/>
      <c r="I1891"/>
      <c r="J1891"/>
    </row>
    <row r="1892" spans="5:10" x14ac:dyDescent="0.2">
      <c r="E1892"/>
      <c r="F1892"/>
      <c r="G1892"/>
      <c r="I1892"/>
      <c r="J1892"/>
    </row>
    <row r="1893" spans="5:10" x14ac:dyDescent="0.2">
      <c r="E1893"/>
      <c r="F1893"/>
      <c r="G1893"/>
      <c r="I1893"/>
      <c r="J1893"/>
    </row>
    <row r="1894" spans="5:10" x14ac:dyDescent="0.2">
      <c r="E1894"/>
      <c r="F1894"/>
      <c r="G1894"/>
      <c r="I1894"/>
      <c r="J1894"/>
    </row>
    <row r="1895" spans="5:10" x14ac:dyDescent="0.2">
      <c r="E1895"/>
      <c r="F1895"/>
      <c r="G1895"/>
      <c r="I1895"/>
      <c r="J1895"/>
    </row>
    <row r="1896" spans="5:10" x14ac:dyDescent="0.2">
      <c r="E1896"/>
      <c r="F1896"/>
      <c r="G1896"/>
      <c r="I1896"/>
      <c r="J1896"/>
    </row>
    <row r="1897" spans="5:10" x14ac:dyDescent="0.2">
      <c r="E1897"/>
      <c r="F1897"/>
      <c r="G1897"/>
      <c r="I1897"/>
      <c r="J1897"/>
    </row>
    <row r="1898" spans="5:10" x14ac:dyDescent="0.2">
      <c r="E1898"/>
      <c r="F1898"/>
      <c r="G1898"/>
      <c r="I1898"/>
      <c r="J1898"/>
    </row>
    <row r="1899" spans="5:10" x14ac:dyDescent="0.2">
      <c r="E1899"/>
      <c r="F1899"/>
      <c r="G1899"/>
      <c r="I1899"/>
      <c r="J1899"/>
    </row>
    <row r="1900" spans="5:10" x14ac:dyDescent="0.2">
      <c r="E1900"/>
      <c r="F1900"/>
      <c r="G1900"/>
      <c r="I1900"/>
      <c r="J1900"/>
    </row>
    <row r="1901" spans="5:10" x14ac:dyDescent="0.2">
      <c r="E1901"/>
      <c r="F1901"/>
      <c r="G1901"/>
      <c r="I1901"/>
      <c r="J1901"/>
    </row>
    <row r="1902" spans="5:10" x14ac:dyDescent="0.2">
      <c r="E1902"/>
      <c r="F1902"/>
      <c r="G1902"/>
      <c r="I1902"/>
      <c r="J1902"/>
    </row>
    <row r="1903" spans="5:10" x14ac:dyDescent="0.2">
      <c r="E1903"/>
      <c r="F1903"/>
      <c r="G1903"/>
      <c r="I1903"/>
      <c r="J1903"/>
    </row>
    <row r="1904" spans="5:10" x14ac:dyDescent="0.2">
      <c r="E1904"/>
      <c r="F1904"/>
      <c r="G1904"/>
      <c r="I1904"/>
      <c r="J1904"/>
    </row>
    <row r="1905" spans="5:10" x14ac:dyDescent="0.2">
      <c r="E1905"/>
      <c r="F1905"/>
      <c r="G1905"/>
      <c r="I1905"/>
      <c r="J1905"/>
    </row>
    <row r="1906" spans="5:10" x14ac:dyDescent="0.2">
      <c r="E1906"/>
      <c r="F1906"/>
      <c r="G1906"/>
      <c r="I1906"/>
      <c r="J1906"/>
    </row>
    <row r="1907" spans="5:10" x14ac:dyDescent="0.2">
      <c r="E1907"/>
      <c r="F1907"/>
      <c r="G1907"/>
      <c r="I1907"/>
      <c r="J1907"/>
    </row>
    <row r="1908" spans="5:10" x14ac:dyDescent="0.2">
      <c r="E1908"/>
      <c r="F1908"/>
      <c r="G1908"/>
      <c r="I1908"/>
      <c r="J1908"/>
    </row>
    <row r="1909" spans="5:10" x14ac:dyDescent="0.2">
      <c r="E1909"/>
      <c r="F1909"/>
      <c r="G1909"/>
      <c r="I1909"/>
      <c r="J1909"/>
    </row>
    <row r="1910" spans="5:10" x14ac:dyDescent="0.2">
      <c r="E1910"/>
      <c r="F1910"/>
      <c r="G1910"/>
      <c r="I1910"/>
      <c r="J1910"/>
    </row>
    <row r="1911" spans="5:10" x14ac:dyDescent="0.2">
      <c r="E1911"/>
      <c r="F1911"/>
      <c r="G1911"/>
      <c r="I1911"/>
      <c r="J1911"/>
    </row>
    <row r="1912" spans="5:10" x14ac:dyDescent="0.2">
      <c r="E1912"/>
      <c r="F1912"/>
      <c r="G1912"/>
      <c r="I1912"/>
      <c r="J1912"/>
    </row>
    <row r="1913" spans="5:10" x14ac:dyDescent="0.2">
      <c r="E1913"/>
      <c r="F1913"/>
      <c r="G1913"/>
      <c r="I1913"/>
      <c r="J1913"/>
    </row>
    <row r="1914" spans="5:10" x14ac:dyDescent="0.2">
      <c r="E1914"/>
      <c r="F1914"/>
      <c r="G1914"/>
      <c r="I1914"/>
      <c r="J1914"/>
    </row>
    <row r="1915" spans="5:10" x14ac:dyDescent="0.2">
      <c r="E1915"/>
      <c r="F1915"/>
      <c r="G1915"/>
      <c r="I1915"/>
      <c r="J1915"/>
    </row>
    <row r="1916" spans="5:10" x14ac:dyDescent="0.2">
      <c r="E1916"/>
      <c r="F1916"/>
      <c r="G1916"/>
      <c r="I1916"/>
      <c r="J1916"/>
    </row>
    <row r="1917" spans="5:10" x14ac:dyDescent="0.2">
      <c r="E1917"/>
      <c r="F1917"/>
      <c r="G1917"/>
      <c r="I1917"/>
      <c r="J1917"/>
    </row>
    <row r="1918" spans="5:10" x14ac:dyDescent="0.2">
      <c r="E1918"/>
      <c r="F1918"/>
      <c r="G1918"/>
      <c r="I1918"/>
      <c r="J1918"/>
    </row>
    <row r="1919" spans="5:10" x14ac:dyDescent="0.2">
      <c r="E1919"/>
      <c r="F1919"/>
      <c r="G1919"/>
      <c r="I1919"/>
      <c r="J1919"/>
    </row>
    <row r="1920" spans="5:10" x14ac:dyDescent="0.2">
      <c r="E1920"/>
      <c r="F1920"/>
      <c r="G1920"/>
      <c r="I1920"/>
      <c r="J1920"/>
    </row>
    <row r="1921" spans="5:10" x14ac:dyDescent="0.2">
      <c r="E1921"/>
      <c r="F1921"/>
      <c r="G1921"/>
      <c r="I1921"/>
      <c r="J1921"/>
    </row>
    <row r="1922" spans="5:10" x14ac:dyDescent="0.2">
      <c r="E1922"/>
      <c r="F1922"/>
      <c r="G1922"/>
      <c r="I1922"/>
      <c r="J1922"/>
    </row>
    <row r="1923" spans="5:10" x14ac:dyDescent="0.2">
      <c r="E1923"/>
      <c r="F1923"/>
      <c r="G1923"/>
      <c r="I1923"/>
      <c r="J1923"/>
    </row>
    <row r="1924" spans="5:10" x14ac:dyDescent="0.2">
      <c r="E1924"/>
      <c r="F1924"/>
      <c r="G1924"/>
      <c r="I1924"/>
      <c r="J1924"/>
    </row>
    <row r="1925" spans="5:10" x14ac:dyDescent="0.2">
      <c r="E1925"/>
      <c r="F1925"/>
      <c r="G1925"/>
      <c r="I1925"/>
      <c r="J1925"/>
    </row>
    <row r="1926" spans="5:10" x14ac:dyDescent="0.2">
      <c r="E1926"/>
      <c r="F1926"/>
      <c r="G1926"/>
      <c r="I1926"/>
      <c r="J1926"/>
    </row>
    <row r="1927" spans="5:10" x14ac:dyDescent="0.2">
      <c r="E1927"/>
      <c r="F1927"/>
      <c r="G1927"/>
      <c r="I1927"/>
      <c r="J1927"/>
    </row>
    <row r="1928" spans="5:10" x14ac:dyDescent="0.2">
      <c r="E1928"/>
      <c r="F1928"/>
      <c r="G1928"/>
      <c r="I1928"/>
      <c r="J1928"/>
    </row>
    <row r="1929" spans="5:10" x14ac:dyDescent="0.2">
      <c r="E1929"/>
      <c r="F1929"/>
      <c r="G1929"/>
      <c r="I1929"/>
      <c r="J1929"/>
    </row>
    <row r="1930" spans="5:10" x14ac:dyDescent="0.2">
      <c r="E1930"/>
      <c r="F1930"/>
      <c r="G1930"/>
      <c r="I1930"/>
      <c r="J1930"/>
    </row>
    <row r="1931" spans="5:10" x14ac:dyDescent="0.2">
      <c r="E1931"/>
      <c r="F1931"/>
      <c r="G1931"/>
      <c r="I1931"/>
      <c r="J1931"/>
    </row>
    <row r="1932" spans="5:10" x14ac:dyDescent="0.2">
      <c r="E1932"/>
      <c r="F1932"/>
      <c r="G1932"/>
      <c r="I1932"/>
      <c r="J1932"/>
    </row>
    <row r="1933" spans="5:10" x14ac:dyDescent="0.2">
      <c r="E1933"/>
      <c r="F1933"/>
      <c r="G1933"/>
      <c r="I1933"/>
      <c r="J1933"/>
    </row>
    <row r="1934" spans="5:10" x14ac:dyDescent="0.2">
      <c r="E1934"/>
      <c r="F1934"/>
      <c r="G1934"/>
      <c r="I1934"/>
      <c r="J1934"/>
    </row>
    <row r="1935" spans="5:10" x14ac:dyDescent="0.2">
      <c r="E1935"/>
      <c r="F1935"/>
      <c r="G1935"/>
      <c r="I1935"/>
      <c r="J1935"/>
    </row>
    <row r="1936" spans="5:10" x14ac:dyDescent="0.2">
      <c r="E1936"/>
      <c r="F1936"/>
      <c r="G1936"/>
      <c r="I1936"/>
      <c r="J1936"/>
    </row>
    <row r="1937" spans="5:10" x14ac:dyDescent="0.2">
      <c r="E1937"/>
      <c r="F1937"/>
      <c r="G1937"/>
      <c r="I1937"/>
      <c r="J1937"/>
    </row>
    <row r="1938" spans="5:10" x14ac:dyDescent="0.2">
      <c r="E1938"/>
      <c r="F1938"/>
      <c r="G1938"/>
      <c r="I1938"/>
      <c r="J1938"/>
    </row>
    <row r="1939" spans="5:10" x14ac:dyDescent="0.2">
      <c r="E1939"/>
      <c r="F1939"/>
      <c r="G1939"/>
      <c r="I1939"/>
      <c r="J1939"/>
    </row>
    <row r="1940" spans="5:10" x14ac:dyDescent="0.2">
      <c r="E1940"/>
      <c r="F1940"/>
      <c r="G1940"/>
      <c r="I1940"/>
      <c r="J1940"/>
    </row>
    <row r="1941" spans="5:10" x14ac:dyDescent="0.2">
      <c r="E1941"/>
      <c r="F1941"/>
      <c r="G1941"/>
      <c r="I1941"/>
      <c r="J1941"/>
    </row>
    <row r="1942" spans="5:10" x14ac:dyDescent="0.2">
      <c r="E1942"/>
      <c r="F1942"/>
      <c r="G1942"/>
      <c r="I1942"/>
      <c r="J1942"/>
    </row>
    <row r="1943" spans="5:10" x14ac:dyDescent="0.2">
      <c r="E1943"/>
      <c r="F1943"/>
      <c r="G1943"/>
      <c r="I1943"/>
      <c r="J1943"/>
    </row>
    <row r="1944" spans="5:10" x14ac:dyDescent="0.2">
      <c r="E1944"/>
      <c r="F1944"/>
      <c r="G1944"/>
      <c r="I1944"/>
      <c r="J1944"/>
    </row>
    <row r="1945" spans="5:10" x14ac:dyDescent="0.2">
      <c r="E1945"/>
      <c r="F1945"/>
      <c r="G1945"/>
      <c r="I1945"/>
      <c r="J1945"/>
    </row>
    <row r="1946" spans="5:10" x14ac:dyDescent="0.2">
      <c r="E1946"/>
      <c r="F1946"/>
      <c r="G1946"/>
      <c r="I1946"/>
      <c r="J1946"/>
    </row>
    <row r="1947" spans="5:10" x14ac:dyDescent="0.2">
      <c r="E1947"/>
      <c r="F1947"/>
      <c r="G1947"/>
      <c r="I1947"/>
      <c r="J1947"/>
    </row>
    <row r="1948" spans="5:10" x14ac:dyDescent="0.2">
      <c r="E1948"/>
      <c r="F1948"/>
      <c r="G1948"/>
      <c r="I1948"/>
      <c r="J1948"/>
    </row>
    <row r="1949" spans="5:10" x14ac:dyDescent="0.2">
      <c r="E1949"/>
      <c r="F1949"/>
      <c r="G1949"/>
      <c r="I1949"/>
      <c r="J1949"/>
    </row>
    <row r="1950" spans="5:10" x14ac:dyDescent="0.2">
      <c r="E1950"/>
      <c r="F1950"/>
      <c r="G1950"/>
      <c r="I1950"/>
      <c r="J1950"/>
    </row>
    <row r="1951" spans="5:10" x14ac:dyDescent="0.2">
      <c r="E1951"/>
      <c r="F1951"/>
      <c r="G1951"/>
      <c r="I1951"/>
      <c r="J1951"/>
    </row>
    <row r="1952" spans="5:10" x14ac:dyDescent="0.2">
      <c r="E1952"/>
      <c r="F1952"/>
      <c r="G1952"/>
      <c r="I1952"/>
      <c r="J1952"/>
    </row>
    <row r="1953" spans="5:10" x14ac:dyDescent="0.2">
      <c r="E1953"/>
      <c r="F1953"/>
      <c r="G1953"/>
      <c r="I1953"/>
      <c r="J1953"/>
    </row>
    <row r="1954" spans="5:10" x14ac:dyDescent="0.2">
      <c r="E1954"/>
      <c r="F1954"/>
      <c r="G1954"/>
      <c r="I1954"/>
      <c r="J1954"/>
    </row>
    <row r="1955" spans="5:10" x14ac:dyDescent="0.2">
      <c r="E1955"/>
      <c r="F1955"/>
      <c r="G1955"/>
      <c r="I1955"/>
      <c r="J1955"/>
    </row>
    <row r="1956" spans="5:10" x14ac:dyDescent="0.2">
      <c r="E1956"/>
      <c r="F1956"/>
      <c r="G1956"/>
      <c r="I1956"/>
      <c r="J1956"/>
    </row>
    <row r="1957" spans="5:10" x14ac:dyDescent="0.2">
      <c r="E1957"/>
      <c r="F1957"/>
      <c r="G1957"/>
      <c r="I1957"/>
      <c r="J1957"/>
    </row>
    <row r="1958" spans="5:10" x14ac:dyDescent="0.2">
      <c r="E1958"/>
      <c r="F1958"/>
      <c r="G1958"/>
      <c r="I1958"/>
      <c r="J1958"/>
    </row>
    <row r="1959" spans="5:10" x14ac:dyDescent="0.2">
      <c r="E1959"/>
      <c r="F1959"/>
      <c r="G1959"/>
      <c r="I1959"/>
      <c r="J1959"/>
    </row>
    <row r="1960" spans="5:10" x14ac:dyDescent="0.2">
      <c r="E1960"/>
      <c r="F1960"/>
      <c r="G1960"/>
      <c r="I1960"/>
      <c r="J1960"/>
    </row>
    <row r="1961" spans="5:10" x14ac:dyDescent="0.2">
      <c r="E1961"/>
      <c r="F1961"/>
      <c r="G1961"/>
      <c r="I1961"/>
      <c r="J1961"/>
    </row>
    <row r="1962" spans="5:10" x14ac:dyDescent="0.2">
      <c r="E1962"/>
      <c r="F1962"/>
      <c r="G1962"/>
      <c r="I1962"/>
      <c r="J1962"/>
    </row>
    <row r="1963" spans="5:10" x14ac:dyDescent="0.2">
      <c r="E1963"/>
      <c r="F1963"/>
      <c r="G1963"/>
      <c r="I1963"/>
      <c r="J1963"/>
    </row>
    <row r="1964" spans="5:10" x14ac:dyDescent="0.2">
      <c r="E1964"/>
      <c r="F1964"/>
      <c r="G1964"/>
      <c r="I1964"/>
      <c r="J1964"/>
    </row>
    <row r="1965" spans="5:10" x14ac:dyDescent="0.2">
      <c r="E1965"/>
      <c r="F1965"/>
      <c r="G1965"/>
      <c r="I1965"/>
      <c r="J1965"/>
    </row>
    <row r="1966" spans="5:10" x14ac:dyDescent="0.2">
      <c r="E1966"/>
      <c r="F1966"/>
      <c r="G1966"/>
      <c r="I1966"/>
      <c r="J1966"/>
    </row>
    <row r="1967" spans="5:10" x14ac:dyDescent="0.2">
      <c r="E1967"/>
      <c r="F1967"/>
      <c r="G1967"/>
      <c r="I1967"/>
      <c r="J1967"/>
    </row>
    <row r="1968" spans="5:10" x14ac:dyDescent="0.2">
      <c r="E1968"/>
      <c r="F1968"/>
      <c r="G1968"/>
      <c r="I1968"/>
      <c r="J1968"/>
    </row>
    <row r="1969" spans="5:10" x14ac:dyDescent="0.2">
      <c r="E1969"/>
      <c r="F1969"/>
      <c r="G1969"/>
      <c r="I1969"/>
      <c r="J1969"/>
    </row>
    <row r="1970" spans="5:10" x14ac:dyDescent="0.2">
      <c r="E1970"/>
      <c r="F1970"/>
      <c r="G1970"/>
      <c r="I1970"/>
      <c r="J1970"/>
    </row>
    <row r="1971" spans="5:10" x14ac:dyDescent="0.2">
      <c r="E1971"/>
      <c r="F1971"/>
      <c r="G1971"/>
      <c r="I1971"/>
      <c r="J1971"/>
    </row>
    <row r="1972" spans="5:10" x14ac:dyDescent="0.2">
      <c r="E1972"/>
      <c r="F1972"/>
      <c r="G1972"/>
      <c r="I1972"/>
      <c r="J1972"/>
    </row>
    <row r="1973" spans="5:10" x14ac:dyDescent="0.2">
      <c r="E1973"/>
      <c r="F1973"/>
      <c r="G1973"/>
      <c r="I1973"/>
      <c r="J1973"/>
    </row>
    <row r="1974" spans="5:10" x14ac:dyDescent="0.2">
      <c r="E1974"/>
      <c r="F1974"/>
      <c r="G1974"/>
      <c r="I1974"/>
      <c r="J1974"/>
    </row>
    <row r="1975" spans="5:10" x14ac:dyDescent="0.2">
      <c r="E1975"/>
      <c r="F1975"/>
      <c r="G1975"/>
      <c r="I1975"/>
      <c r="J1975"/>
    </row>
    <row r="1976" spans="5:10" x14ac:dyDescent="0.2">
      <c r="E1976"/>
      <c r="F1976"/>
      <c r="G1976"/>
      <c r="I1976"/>
      <c r="J1976"/>
    </row>
    <row r="1977" spans="5:10" x14ac:dyDescent="0.2">
      <c r="E1977"/>
      <c r="F1977"/>
      <c r="G1977"/>
      <c r="I1977"/>
      <c r="J1977"/>
    </row>
    <row r="1978" spans="5:10" x14ac:dyDescent="0.2">
      <c r="E1978"/>
      <c r="F1978"/>
      <c r="G1978"/>
      <c r="I1978"/>
      <c r="J1978"/>
    </row>
    <row r="1979" spans="5:10" x14ac:dyDescent="0.2">
      <c r="E1979"/>
      <c r="F1979"/>
      <c r="G1979"/>
      <c r="I1979"/>
      <c r="J1979"/>
    </row>
    <row r="1980" spans="5:10" x14ac:dyDescent="0.2">
      <c r="E1980"/>
      <c r="F1980"/>
      <c r="G1980"/>
      <c r="I1980"/>
      <c r="J1980"/>
    </row>
    <row r="1981" spans="5:10" x14ac:dyDescent="0.2">
      <c r="E1981"/>
      <c r="F1981"/>
      <c r="G1981"/>
      <c r="I1981"/>
      <c r="J1981"/>
    </row>
    <row r="1982" spans="5:10" x14ac:dyDescent="0.2">
      <c r="E1982"/>
      <c r="F1982"/>
      <c r="G1982"/>
      <c r="I1982"/>
      <c r="J1982"/>
    </row>
    <row r="1983" spans="5:10" x14ac:dyDescent="0.2">
      <c r="E1983"/>
      <c r="F1983"/>
      <c r="G1983"/>
      <c r="I1983"/>
      <c r="J1983"/>
    </row>
    <row r="1984" spans="5:10" x14ac:dyDescent="0.2">
      <c r="E1984"/>
      <c r="F1984"/>
      <c r="G1984"/>
      <c r="I1984"/>
      <c r="J1984"/>
    </row>
    <row r="1985" spans="5:10" x14ac:dyDescent="0.2">
      <c r="E1985"/>
      <c r="F1985"/>
      <c r="G1985"/>
      <c r="I1985"/>
      <c r="J1985"/>
    </row>
    <row r="1986" spans="5:10" x14ac:dyDescent="0.2">
      <c r="E1986"/>
      <c r="F1986"/>
      <c r="G1986"/>
      <c r="I1986"/>
      <c r="J1986"/>
    </row>
    <row r="1987" spans="5:10" x14ac:dyDescent="0.2">
      <c r="E1987"/>
      <c r="F1987"/>
      <c r="G1987"/>
      <c r="I1987"/>
      <c r="J1987"/>
    </row>
    <row r="1988" spans="5:10" x14ac:dyDescent="0.2">
      <c r="E1988"/>
      <c r="F1988"/>
      <c r="G1988"/>
      <c r="I1988"/>
      <c r="J1988"/>
    </row>
    <row r="1989" spans="5:10" x14ac:dyDescent="0.2">
      <c r="E1989"/>
      <c r="F1989"/>
      <c r="G1989"/>
      <c r="I1989"/>
      <c r="J1989"/>
    </row>
    <row r="1990" spans="5:10" x14ac:dyDescent="0.2">
      <c r="E1990"/>
      <c r="F1990"/>
      <c r="G1990"/>
      <c r="I1990"/>
      <c r="J1990"/>
    </row>
    <row r="1991" spans="5:10" x14ac:dyDescent="0.2">
      <c r="E1991"/>
      <c r="F1991"/>
      <c r="G1991"/>
      <c r="I1991"/>
      <c r="J1991"/>
    </row>
    <row r="1992" spans="5:10" x14ac:dyDescent="0.2">
      <c r="E1992"/>
      <c r="F1992"/>
      <c r="G1992"/>
      <c r="I1992"/>
      <c r="J1992"/>
    </row>
    <row r="1993" spans="5:10" x14ac:dyDescent="0.2">
      <c r="E1993"/>
      <c r="F1993"/>
      <c r="G1993"/>
      <c r="I1993"/>
      <c r="J1993"/>
    </row>
    <row r="1994" spans="5:10" x14ac:dyDescent="0.2">
      <c r="E1994"/>
      <c r="F1994"/>
      <c r="G1994"/>
      <c r="I1994"/>
      <c r="J1994"/>
    </row>
    <row r="1995" spans="5:10" x14ac:dyDescent="0.2">
      <c r="E1995"/>
      <c r="F1995"/>
      <c r="G1995"/>
      <c r="I1995"/>
      <c r="J1995"/>
    </row>
    <row r="1996" spans="5:10" x14ac:dyDescent="0.2">
      <c r="E1996"/>
      <c r="F1996"/>
      <c r="G1996"/>
      <c r="I1996"/>
      <c r="J1996"/>
    </row>
    <row r="1997" spans="5:10" x14ac:dyDescent="0.2">
      <c r="E1997"/>
      <c r="F1997"/>
      <c r="G1997"/>
      <c r="I1997"/>
      <c r="J1997"/>
    </row>
    <row r="1998" spans="5:10" x14ac:dyDescent="0.2">
      <c r="E1998"/>
      <c r="F1998"/>
      <c r="G1998"/>
      <c r="I1998"/>
      <c r="J1998"/>
    </row>
    <row r="1999" spans="5:10" x14ac:dyDescent="0.2">
      <c r="E1999"/>
      <c r="F1999"/>
      <c r="G1999"/>
      <c r="I1999"/>
      <c r="J1999"/>
    </row>
    <row r="2000" spans="5:10" x14ac:dyDescent="0.2">
      <c r="E2000"/>
      <c r="F2000"/>
      <c r="G2000"/>
      <c r="I2000"/>
      <c r="J2000"/>
    </row>
    <row r="2001" spans="5:10" x14ac:dyDescent="0.2">
      <c r="E2001"/>
      <c r="F2001"/>
      <c r="G2001"/>
      <c r="I2001"/>
      <c r="J2001"/>
    </row>
    <row r="2002" spans="5:10" x14ac:dyDescent="0.2">
      <c r="E2002"/>
      <c r="F2002"/>
      <c r="G2002"/>
      <c r="I2002"/>
      <c r="J2002"/>
    </row>
    <row r="2003" spans="5:10" x14ac:dyDescent="0.2">
      <c r="E2003"/>
      <c r="F2003"/>
      <c r="G2003"/>
      <c r="I2003"/>
      <c r="J2003"/>
    </row>
    <row r="2004" spans="5:10" x14ac:dyDescent="0.2">
      <c r="E2004"/>
      <c r="F2004"/>
      <c r="G2004"/>
      <c r="I2004"/>
      <c r="J2004"/>
    </row>
    <row r="2005" spans="5:10" x14ac:dyDescent="0.2">
      <c r="E2005"/>
      <c r="F2005"/>
      <c r="G2005"/>
      <c r="I2005"/>
      <c r="J2005"/>
    </row>
    <row r="2006" spans="5:10" x14ac:dyDescent="0.2">
      <c r="E2006"/>
      <c r="F2006"/>
      <c r="G2006"/>
      <c r="I2006"/>
      <c r="J2006"/>
    </row>
    <row r="2007" spans="5:10" x14ac:dyDescent="0.2">
      <c r="E2007"/>
      <c r="F2007"/>
      <c r="G2007"/>
      <c r="I2007"/>
      <c r="J2007"/>
    </row>
    <row r="2008" spans="5:10" x14ac:dyDescent="0.2">
      <c r="E2008"/>
      <c r="F2008"/>
      <c r="G2008"/>
      <c r="I2008"/>
      <c r="J2008"/>
    </row>
    <row r="2009" spans="5:10" x14ac:dyDescent="0.2">
      <c r="E2009"/>
      <c r="F2009"/>
      <c r="G2009"/>
      <c r="I2009"/>
      <c r="J2009"/>
    </row>
    <row r="2010" spans="5:10" x14ac:dyDescent="0.2">
      <c r="E2010"/>
      <c r="F2010"/>
      <c r="G2010"/>
      <c r="I2010"/>
      <c r="J2010"/>
    </row>
    <row r="2011" spans="5:10" x14ac:dyDescent="0.2">
      <c r="E2011"/>
      <c r="F2011"/>
      <c r="G2011"/>
      <c r="I2011"/>
      <c r="J2011"/>
    </row>
    <row r="2012" spans="5:10" x14ac:dyDescent="0.2">
      <c r="E2012"/>
      <c r="F2012"/>
      <c r="G2012"/>
      <c r="I2012"/>
      <c r="J2012"/>
    </row>
    <row r="2013" spans="5:10" x14ac:dyDescent="0.2">
      <c r="E2013"/>
      <c r="F2013"/>
      <c r="G2013"/>
      <c r="I2013"/>
      <c r="J2013"/>
    </row>
    <row r="2014" spans="5:10" x14ac:dyDescent="0.2">
      <c r="E2014"/>
      <c r="F2014"/>
      <c r="G2014"/>
      <c r="I2014"/>
      <c r="J2014"/>
    </row>
    <row r="2015" spans="5:10" x14ac:dyDescent="0.2">
      <c r="E2015"/>
      <c r="F2015"/>
      <c r="G2015"/>
      <c r="I2015"/>
      <c r="J2015"/>
    </row>
    <row r="2016" spans="5:10" x14ac:dyDescent="0.2">
      <c r="E2016"/>
      <c r="F2016"/>
      <c r="G2016"/>
      <c r="I2016"/>
      <c r="J2016"/>
    </row>
    <row r="2017" spans="5:10" x14ac:dyDescent="0.2">
      <c r="E2017"/>
      <c r="F2017"/>
      <c r="G2017"/>
      <c r="I2017"/>
      <c r="J2017"/>
    </row>
    <row r="2018" spans="5:10" x14ac:dyDescent="0.2">
      <c r="E2018"/>
      <c r="F2018"/>
      <c r="G2018"/>
      <c r="I2018"/>
      <c r="J2018"/>
    </row>
    <row r="2019" spans="5:10" x14ac:dyDescent="0.2">
      <c r="E2019"/>
      <c r="F2019"/>
      <c r="G2019"/>
      <c r="I2019"/>
      <c r="J2019"/>
    </row>
    <row r="2020" spans="5:10" x14ac:dyDescent="0.2">
      <c r="E2020"/>
      <c r="F2020"/>
      <c r="G2020"/>
      <c r="I2020"/>
      <c r="J2020"/>
    </row>
    <row r="2021" spans="5:10" x14ac:dyDescent="0.2">
      <c r="E2021"/>
      <c r="F2021"/>
      <c r="G2021"/>
      <c r="I2021"/>
      <c r="J2021"/>
    </row>
    <row r="2022" spans="5:10" x14ac:dyDescent="0.2">
      <c r="E2022"/>
      <c r="F2022"/>
      <c r="G2022"/>
      <c r="I2022"/>
      <c r="J2022"/>
    </row>
    <row r="2023" spans="5:10" x14ac:dyDescent="0.2">
      <c r="E2023"/>
      <c r="F2023"/>
      <c r="G2023"/>
      <c r="I2023"/>
      <c r="J2023"/>
    </row>
    <row r="2024" spans="5:10" x14ac:dyDescent="0.2">
      <c r="E2024"/>
      <c r="F2024"/>
      <c r="G2024"/>
      <c r="I2024"/>
      <c r="J2024"/>
    </row>
    <row r="2025" spans="5:10" x14ac:dyDescent="0.2">
      <c r="E2025"/>
      <c r="F2025"/>
      <c r="G2025"/>
      <c r="I2025"/>
      <c r="J2025"/>
    </row>
    <row r="2026" spans="5:10" x14ac:dyDescent="0.2">
      <c r="E2026"/>
      <c r="F2026"/>
      <c r="G2026"/>
      <c r="I2026"/>
      <c r="J2026"/>
    </row>
    <row r="2027" spans="5:10" x14ac:dyDescent="0.2">
      <c r="E2027"/>
      <c r="F2027"/>
      <c r="G2027"/>
      <c r="I2027"/>
      <c r="J2027"/>
    </row>
    <row r="2028" spans="5:10" x14ac:dyDescent="0.2">
      <c r="E2028"/>
      <c r="F2028"/>
      <c r="G2028"/>
      <c r="I2028"/>
      <c r="J2028"/>
    </row>
    <row r="2029" spans="5:10" x14ac:dyDescent="0.2">
      <c r="E2029"/>
      <c r="F2029"/>
      <c r="G2029"/>
      <c r="I2029"/>
      <c r="J2029"/>
    </row>
    <row r="2030" spans="5:10" x14ac:dyDescent="0.2">
      <c r="E2030"/>
      <c r="F2030"/>
      <c r="G2030"/>
      <c r="I2030"/>
      <c r="J2030"/>
    </row>
    <row r="2031" spans="5:10" x14ac:dyDescent="0.2">
      <c r="E2031"/>
      <c r="F2031"/>
      <c r="G2031"/>
      <c r="I2031"/>
      <c r="J2031"/>
    </row>
    <row r="2032" spans="5:10" x14ac:dyDescent="0.2">
      <c r="E2032"/>
      <c r="F2032"/>
      <c r="G2032"/>
      <c r="I2032"/>
      <c r="J2032"/>
    </row>
    <row r="2033" spans="5:10" x14ac:dyDescent="0.2">
      <c r="E2033"/>
      <c r="F2033"/>
      <c r="G2033"/>
      <c r="I2033"/>
      <c r="J2033"/>
    </row>
    <row r="2034" spans="5:10" x14ac:dyDescent="0.2">
      <c r="E2034"/>
      <c r="F2034"/>
      <c r="G2034"/>
      <c r="I2034"/>
      <c r="J2034"/>
    </row>
    <row r="2035" spans="5:10" x14ac:dyDescent="0.2">
      <c r="E2035"/>
      <c r="F2035"/>
      <c r="G2035"/>
      <c r="I2035"/>
      <c r="J2035"/>
    </row>
    <row r="2036" spans="5:10" x14ac:dyDescent="0.2">
      <c r="E2036"/>
      <c r="F2036"/>
      <c r="G2036"/>
      <c r="I2036"/>
      <c r="J2036"/>
    </row>
    <row r="2037" spans="5:10" x14ac:dyDescent="0.2">
      <c r="E2037"/>
      <c r="F2037"/>
      <c r="G2037"/>
      <c r="I2037"/>
      <c r="J2037"/>
    </row>
    <row r="2038" spans="5:10" x14ac:dyDescent="0.2">
      <c r="E2038"/>
      <c r="F2038"/>
      <c r="G2038"/>
      <c r="I2038"/>
      <c r="J2038"/>
    </row>
    <row r="2039" spans="5:10" x14ac:dyDescent="0.2">
      <c r="E2039"/>
      <c r="F2039"/>
      <c r="G2039"/>
      <c r="I2039"/>
      <c r="J2039"/>
    </row>
    <row r="2040" spans="5:10" x14ac:dyDescent="0.2">
      <c r="E2040"/>
      <c r="F2040"/>
      <c r="G2040"/>
      <c r="I2040"/>
      <c r="J2040"/>
    </row>
    <row r="2041" spans="5:10" x14ac:dyDescent="0.2">
      <c r="E2041"/>
      <c r="F2041"/>
      <c r="G2041"/>
      <c r="I2041"/>
      <c r="J2041"/>
    </row>
    <row r="2042" spans="5:10" x14ac:dyDescent="0.2">
      <c r="E2042"/>
      <c r="F2042"/>
      <c r="G2042"/>
      <c r="I2042"/>
      <c r="J2042"/>
    </row>
    <row r="2043" spans="5:10" x14ac:dyDescent="0.2">
      <c r="E2043"/>
      <c r="F2043"/>
      <c r="G2043"/>
      <c r="I2043"/>
      <c r="J2043"/>
    </row>
    <row r="2044" spans="5:10" x14ac:dyDescent="0.2">
      <c r="E2044"/>
      <c r="F2044"/>
      <c r="G2044"/>
      <c r="I2044"/>
      <c r="J2044"/>
    </row>
    <row r="2045" spans="5:10" x14ac:dyDescent="0.2">
      <c r="E2045"/>
      <c r="F2045"/>
      <c r="G2045"/>
      <c r="I2045"/>
      <c r="J2045"/>
    </row>
    <row r="2046" spans="5:10" x14ac:dyDescent="0.2">
      <c r="E2046"/>
      <c r="F2046"/>
      <c r="G2046"/>
      <c r="I2046"/>
      <c r="J2046"/>
    </row>
    <row r="2047" spans="5:10" x14ac:dyDescent="0.2">
      <c r="E2047"/>
      <c r="F2047"/>
      <c r="G2047"/>
      <c r="I2047"/>
      <c r="J2047"/>
    </row>
    <row r="2048" spans="5:10" x14ac:dyDescent="0.2">
      <c r="E2048"/>
      <c r="F2048"/>
      <c r="G2048"/>
      <c r="I2048"/>
      <c r="J2048"/>
    </row>
    <row r="2049" spans="5:10" x14ac:dyDescent="0.2">
      <c r="E2049"/>
      <c r="F2049"/>
      <c r="G2049"/>
      <c r="I2049"/>
      <c r="J2049"/>
    </row>
    <row r="2050" spans="5:10" x14ac:dyDescent="0.2">
      <c r="E2050"/>
      <c r="F2050"/>
      <c r="G2050"/>
      <c r="I2050"/>
      <c r="J2050"/>
    </row>
    <row r="2051" spans="5:10" x14ac:dyDescent="0.2">
      <c r="E2051"/>
      <c r="F2051"/>
      <c r="G2051"/>
      <c r="I2051"/>
      <c r="J2051"/>
    </row>
    <row r="2052" spans="5:10" x14ac:dyDescent="0.2">
      <c r="E2052"/>
      <c r="F2052"/>
      <c r="G2052"/>
      <c r="I2052"/>
      <c r="J2052"/>
    </row>
    <row r="2053" spans="5:10" x14ac:dyDescent="0.2">
      <c r="E2053"/>
      <c r="F2053"/>
      <c r="G2053"/>
      <c r="I2053"/>
      <c r="J2053"/>
    </row>
    <row r="2054" spans="5:10" x14ac:dyDescent="0.2">
      <c r="E2054"/>
      <c r="F2054"/>
      <c r="G2054"/>
      <c r="I2054"/>
      <c r="J2054"/>
    </row>
    <row r="2055" spans="5:10" x14ac:dyDescent="0.2">
      <c r="E2055"/>
      <c r="F2055"/>
      <c r="G2055"/>
      <c r="I2055"/>
      <c r="J2055"/>
    </row>
    <row r="2056" spans="5:10" x14ac:dyDescent="0.2">
      <c r="E2056"/>
      <c r="F2056"/>
      <c r="G2056"/>
      <c r="I2056"/>
      <c r="J2056"/>
    </row>
    <row r="2057" spans="5:10" x14ac:dyDescent="0.2">
      <c r="E2057"/>
      <c r="F2057"/>
      <c r="G2057"/>
      <c r="I2057"/>
      <c r="J2057"/>
    </row>
    <row r="2058" spans="5:10" x14ac:dyDescent="0.2">
      <c r="E2058"/>
      <c r="F2058"/>
      <c r="G2058"/>
      <c r="I2058"/>
      <c r="J2058"/>
    </row>
    <row r="2059" spans="5:10" x14ac:dyDescent="0.2">
      <c r="E2059"/>
      <c r="F2059"/>
      <c r="G2059"/>
      <c r="I2059"/>
      <c r="J2059"/>
    </row>
    <row r="2060" spans="5:10" x14ac:dyDescent="0.2">
      <c r="E2060"/>
      <c r="F2060"/>
      <c r="G2060"/>
      <c r="I2060"/>
      <c r="J2060"/>
    </row>
    <row r="2061" spans="5:10" x14ac:dyDescent="0.2">
      <c r="E2061"/>
      <c r="F2061"/>
      <c r="G2061"/>
      <c r="I2061"/>
      <c r="J2061"/>
    </row>
    <row r="2062" spans="5:10" x14ac:dyDescent="0.2">
      <c r="E2062"/>
      <c r="F2062"/>
      <c r="G2062"/>
      <c r="I2062"/>
      <c r="J2062"/>
    </row>
    <row r="2063" spans="5:10" x14ac:dyDescent="0.2">
      <c r="E2063"/>
      <c r="F2063"/>
      <c r="G2063"/>
      <c r="I2063"/>
      <c r="J2063"/>
    </row>
    <row r="2064" spans="5:10" x14ac:dyDescent="0.2">
      <c r="E2064"/>
      <c r="F2064"/>
      <c r="G2064"/>
      <c r="I2064"/>
      <c r="J2064"/>
    </row>
    <row r="2065" spans="5:10" x14ac:dyDescent="0.2">
      <c r="E2065"/>
      <c r="F2065"/>
      <c r="G2065"/>
      <c r="I2065"/>
      <c r="J2065"/>
    </row>
    <row r="2066" spans="5:10" x14ac:dyDescent="0.2">
      <c r="E2066"/>
      <c r="F2066"/>
      <c r="G2066"/>
      <c r="I2066"/>
      <c r="J2066"/>
    </row>
    <row r="2067" spans="5:10" x14ac:dyDescent="0.2">
      <c r="E2067"/>
      <c r="F2067"/>
      <c r="G2067"/>
      <c r="I2067"/>
      <c r="J2067"/>
    </row>
    <row r="2068" spans="5:10" x14ac:dyDescent="0.2">
      <c r="E2068"/>
      <c r="F2068"/>
      <c r="G2068"/>
      <c r="I2068"/>
      <c r="J2068"/>
    </row>
    <row r="2069" spans="5:10" x14ac:dyDescent="0.2">
      <c r="E2069"/>
      <c r="F2069"/>
      <c r="G2069"/>
      <c r="I2069"/>
      <c r="J2069"/>
    </row>
    <row r="2070" spans="5:10" x14ac:dyDescent="0.2">
      <c r="E2070"/>
      <c r="F2070"/>
      <c r="G2070"/>
      <c r="I2070"/>
      <c r="J2070"/>
    </row>
    <row r="2071" spans="5:10" x14ac:dyDescent="0.2">
      <c r="E2071"/>
      <c r="F2071"/>
      <c r="G2071"/>
      <c r="I2071"/>
      <c r="J2071"/>
    </row>
    <row r="2072" spans="5:10" x14ac:dyDescent="0.2">
      <c r="E2072"/>
      <c r="F2072"/>
      <c r="G2072"/>
      <c r="I2072"/>
      <c r="J2072"/>
    </row>
    <row r="2073" spans="5:10" x14ac:dyDescent="0.2">
      <c r="E2073"/>
      <c r="F2073"/>
      <c r="G2073"/>
      <c r="I2073"/>
      <c r="J2073"/>
    </row>
    <row r="2074" spans="5:10" x14ac:dyDescent="0.2">
      <c r="E2074"/>
      <c r="F2074"/>
      <c r="G2074"/>
      <c r="I2074"/>
      <c r="J2074"/>
    </row>
    <row r="2075" spans="5:10" x14ac:dyDescent="0.2">
      <c r="E2075"/>
      <c r="F2075"/>
      <c r="G2075"/>
      <c r="I2075"/>
      <c r="J2075"/>
    </row>
    <row r="2076" spans="5:10" x14ac:dyDescent="0.2">
      <c r="E2076"/>
      <c r="F2076"/>
      <c r="G2076"/>
      <c r="I2076"/>
      <c r="J2076"/>
    </row>
    <row r="2077" spans="5:10" x14ac:dyDescent="0.2">
      <c r="E2077"/>
      <c r="F2077"/>
      <c r="G2077"/>
      <c r="I2077"/>
      <c r="J2077"/>
    </row>
    <row r="2078" spans="5:10" x14ac:dyDescent="0.2">
      <c r="E2078"/>
      <c r="F2078"/>
      <c r="G2078"/>
      <c r="I2078"/>
      <c r="J2078"/>
    </row>
    <row r="2079" spans="5:10" x14ac:dyDescent="0.2">
      <c r="E2079"/>
      <c r="F2079"/>
      <c r="G2079"/>
      <c r="I2079"/>
      <c r="J2079"/>
    </row>
    <row r="2080" spans="5:10" x14ac:dyDescent="0.2">
      <c r="E2080"/>
      <c r="F2080"/>
      <c r="G2080"/>
      <c r="I2080"/>
      <c r="J2080"/>
    </row>
    <row r="2081" spans="5:10" x14ac:dyDescent="0.2">
      <c r="E2081"/>
      <c r="F2081"/>
      <c r="G2081"/>
      <c r="I2081"/>
      <c r="J2081"/>
    </row>
    <row r="2082" spans="5:10" x14ac:dyDescent="0.2">
      <c r="E2082"/>
      <c r="F2082"/>
      <c r="G2082"/>
      <c r="I2082"/>
      <c r="J2082"/>
    </row>
    <row r="2083" spans="5:10" x14ac:dyDescent="0.2">
      <c r="E2083"/>
      <c r="F2083"/>
      <c r="G2083"/>
      <c r="I2083"/>
      <c r="J2083"/>
    </row>
    <row r="2084" spans="5:10" x14ac:dyDescent="0.2">
      <c r="E2084"/>
      <c r="F2084"/>
      <c r="G2084"/>
      <c r="I2084"/>
      <c r="J2084"/>
    </row>
    <row r="2085" spans="5:10" x14ac:dyDescent="0.2">
      <c r="E2085"/>
      <c r="F2085"/>
      <c r="G2085"/>
      <c r="I2085"/>
      <c r="J2085"/>
    </row>
    <row r="2086" spans="5:10" x14ac:dyDescent="0.2">
      <c r="E2086"/>
      <c r="F2086"/>
      <c r="G2086"/>
      <c r="I2086"/>
      <c r="J2086"/>
    </row>
    <row r="2087" spans="5:10" x14ac:dyDescent="0.2">
      <c r="E2087"/>
      <c r="F2087"/>
      <c r="G2087"/>
      <c r="I2087"/>
      <c r="J2087"/>
    </row>
    <row r="2088" spans="5:10" x14ac:dyDescent="0.2">
      <c r="E2088"/>
      <c r="F2088"/>
      <c r="G2088"/>
      <c r="I2088"/>
      <c r="J2088"/>
    </row>
    <row r="2089" spans="5:10" x14ac:dyDescent="0.2">
      <c r="E2089"/>
      <c r="F2089"/>
      <c r="G2089"/>
      <c r="I2089"/>
      <c r="J2089"/>
    </row>
    <row r="2090" spans="5:10" x14ac:dyDescent="0.2">
      <c r="E2090"/>
      <c r="F2090"/>
      <c r="G2090"/>
      <c r="I2090"/>
      <c r="J2090"/>
    </row>
    <row r="2091" spans="5:10" x14ac:dyDescent="0.2">
      <c r="E2091"/>
      <c r="F2091"/>
      <c r="G2091"/>
      <c r="I2091"/>
      <c r="J2091"/>
    </row>
    <row r="2092" spans="5:10" x14ac:dyDescent="0.2">
      <c r="E2092"/>
      <c r="F2092"/>
      <c r="G2092"/>
      <c r="I2092"/>
      <c r="J2092"/>
    </row>
    <row r="2093" spans="5:10" x14ac:dyDescent="0.2">
      <c r="E2093"/>
      <c r="F2093"/>
      <c r="G2093"/>
      <c r="I2093"/>
      <c r="J2093"/>
    </row>
    <row r="2094" spans="5:10" x14ac:dyDescent="0.2">
      <c r="E2094"/>
      <c r="F2094"/>
      <c r="G2094"/>
      <c r="I2094"/>
      <c r="J2094"/>
    </row>
    <row r="2095" spans="5:10" x14ac:dyDescent="0.2">
      <c r="E2095"/>
      <c r="F2095"/>
      <c r="G2095"/>
      <c r="I2095"/>
      <c r="J2095"/>
    </row>
    <row r="2096" spans="5:10" x14ac:dyDescent="0.2">
      <c r="E2096"/>
      <c r="F2096"/>
      <c r="G2096"/>
      <c r="I2096"/>
      <c r="J2096"/>
    </row>
    <row r="2097" spans="5:10" x14ac:dyDescent="0.2">
      <c r="E2097"/>
      <c r="F2097"/>
      <c r="G2097"/>
      <c r="I2097"/>
      <c r="J2097"/>
    </row>
    <row r="2098" spans="5:10" x14ac:dyDescent="0.2">
      <c r="E2098"/>
      <c r="F2098"/>
      <c r="G2098"/>
      <c r="I2098"/>
      <c r="J2098"/>
    </row>
    <row r="2099" spans="5:10" x14ac:dyDescent="0.2">
      <c r="E2099"/>
      <c r="F2099"/>
      <c r="G2099"/>
      <c r="I2099"/>
      <c r="J2099"/>
    </row>
    <row r="2100" spans="5:10" x14ac:dyDescent="0.2">
      <c r="E2100"/>
      <c r="F2100"/>
      <c r="G2100"/>
      <c r="I2100"/>
      <c r="J2100"/>
    </row>
    <row r="2101" spans="5:10" x14ac:dyDescent="0.2">
      <c r="E2101"/>
      <c r="F2101"/>
      <c r="G2101"/>
      <c r="I2101"/>
      <c r="J2101"/>
    </row>
    <row r="2102" spans="5:10" x14ac:dyDescent="0.2">
      <c r="E2102"/>
      <c r="F2102"/>
      <c r="G2102"/>
      <c r="I2102"/>
      <c r="J2102"/>
    </row>
    <row r="2103" spans="5:10" x14ac:dyDescent="0.2">
      <c r="E2103"/>
      <c r="F2103"/>
      <c r="G2103"/>
      <c r="I2103"/>
      <c r="J2103"/>
    </row>
    <row r="2104" spans="5:10" x14ac:dyDescent="0.2">
      <c r="E2104"/>
      <c r="F2104"/>
      <c r="G2104"/>
      <c r="I2104"/>
      <c r="J2104"/>
    </row>
    <row r="2105" spans="5:10" x14ac:dyDescent="0.2">
      <c r="E2105"/>
      <c r="F2105"/>
      <c r="G2105"/>
      <c r="I2105"/>
      <c r="J2105"/>
    </row>
    <row r="2106" spans="5:10" x14ac:dyDescent="0.2">
      <c r="E2106"/>
      <c r="F2106"/>
      <c r="G2106"/>
      <c r="I2106"/>
      <c r="J2106"/>
    </row>
    <row r="2107" spans="5:10" x14ac:dyDescent="0.2">
      <c r="E2107"/>
      <c r="F2107"/>
      <c r="G2107"/>
      <c r="I2107"/>
      <c r="J2107"/>
    </row>
    <row r="2108" spans="5:10" x14ac:dyDescent="0.2">
      <c r="E2108"/>
      <c r="F2108"/>
      <c r="G2108"/>
      <c r="I2108"/>
      <c r="J2108"/>
    </row>
    <row r="2109" spans="5:10" x14ac:dyDescent="0.2">
      <c r="E2109"/>
      <c r="F2109"/>
      <c r="G2109"/>
      <c r="I2109"/>
      <c r="J2109"/>
    </row>
    <row r="2110" spans="5:10" x14ac:dyDescent="0.2">
      <c r="E2110"/>
      <c r="F2110"/>
      <c r="G2110"/>
      <c r="I2110"/>
      <c r="J2110"/>
    </row>
    <row r="2111" spans="5:10" x14ac:dyDescent="0.2">
      <c r="E2111"/>
      <c r="F2111"/>
      <c r="G2111"/>
      <c r="I2111"/>
      <c r="J2111"/>
    </row>
    <row r="2112" spans="5:10" x14ac:dyDescent="0.2">
      <c r="E2112"/>
      <c r="F2112"/>
      <c r="G2112"/>
      <c r="I2112"/>
      <c r="J2112"/>
    </row>
    <row r="2113" spans="5:10" x14ac:dyDescent="0.2">
      <c r="E2113"/>
      <c r="F2113"/>
      <c r="G2113"/>
      <c r="I2113"/>
      <c r="J2113"/>
    </row>
    <row r="2114" spans="5:10" x14ac:dyDescent="0.2">
      <c r="E2114"/>
      <c r="F2114"/>
      <c r="G2114"/>
      <c r="I2114"/>
      <c r="J2114"/>
    </row>
    <row r="2115" spans="5:10" x14ac:dyDescent="0.2">
      <c r="E2115"/>
      <c r="F2115"/>
      <c r="G2115"/>
      <c r="I2115"/>
      <c r="J2115"/>
    </row>
    <row r="2116" spans="5:10" x14ac:dyDescent="0.2">
      <c r="E2116"/>
      <c r="F2116"/>
      <c r="G2116"/>
      <c r="I2116"/>
      <c r="J2116"/>
    </row>
    <row r="2117" spans="5:10" x14ac:dyDescent="0.2">
      <c r="E2117"/>
      <c r="F2117"/>
      <c r="G2117"/>
      <c r="I2117"/>
      <c r="J2117"/>
    </row>
    <row r="2118" spans="5:10" x14ac:dyDescent="0.2">
      <c r="E2118"/>
      <c r="F2118"/>
      <c r="G2118"/>
      <c r="I2118"/>
      <c r="J2118"/>
    </row>
    <row r="2119" spans="5:10" x14ac:dyDescent="0.2">
      <c r="E2119"/>
      <c r="F2119"/>
      <c r="G2119"/>
      <c r="I2119"/>
      <c r="J2119"/>
    </row>
    <row r="2120" spans="5:10" x14ac:dyDescent="0.2">
      <c r="E2120"/>
      <c r="F2120"/>
      <c r="G2120"/>
      <c r="I2120"/>
      <c r="J2120"/>
    </row>
    <row r="2121" spans="5:10" x14ac:dyDescent="0.2">
      <c r="E2121"/>
      <c r="F2121"/>
      <c r="G2121"/>
      <c r="I2121"/>
      <c r="J2121"/>
    </row>
    <row r="2122" spans="5:10" x14ac:dyDescent="0.2">
      <c r="E2122"/>
      <c r="F2122"/>
      <c r="G2122"/>
      <c r="I2122"/>
      <c r="J2122"/>
    </row>
    <row r="2123" spans="5:10" x14ac:dyDescent="0.2">
      <c r="E2123"/>
      <c r="F2123"/>
      <c r="G2123"/>
      <c r="I2123"/>
      <c r="J2123"/>
    </row>
    <row r="2124" spans="5:10" x14ac:dyDescent="0.2">
      <c r="E2124"/>
      <c r="F2124"/>
      <c r="G2124"/>
      <c r="I2124"/>
      <c r="J2124"/>
    </row>
    <row r="2125" spans="5:10" x14ac:dyDescent="0.2">
      <c r="E2125"/>
      <c r="F2125"/>
      <c r="G2125"/>
      <c r="I2125"/>
      <c r="J2125"/>
    </row>
    <row r="2126" spans="5:10" x14ac:dyDescent="0.2">
      <c r="E2126"/>
      <c r="F2126"/>
      <c r="G2126"/>
      <c r="I2126"/>
      <c r="J2126"/>
    </row>
    <row r="2127" spans="5:10" x14ac:dyDescent="0.2">
      <c r="E2127"/>
      <c r="F2127"/>
      <c r="G2127"/>
      <c r="I2127"/>
      <c r="J2127"/>
    </row>
    <row r="2128" spans="5:10" x14ac:dyDescent="0.2">
      <c r="E2128"/>
      <c r="F2128"/>
      <c r="G2128"/>
      <c r="I2128"/>
      <c r="J2128"/>
    </row>
    <row r="2129" spans="5:10" x14ac:dyDescent="0.2">
      <c r="E2129"/>
      <c r="F2129"/>
      <c r="G2129"/>
      <c r="I2129"/>
      <c r="J2129"/>
    </row>
    <row r="2130" spans="5:10" x14ac:dyDescent="0.2">
      <c r="E2130"/>
      <c r="F2130"/>
      <c r="G2130"/>
      <c r="I2130"/>
      <c r="J2130"/>
    </row>
    <row r="2131" spans="5:10" x14ac:dyDescent="0.2">
      <c r="E2131"/>
      <c r="F2131"/>
      <c r="G2131"/>
      <c r="I2131"/>
      <c r="J2131"/>
    </row>
    <row r="2132" spans="5:10" x14ac:dyDescent="0.2">
      <c r="E2132"/>
      <c r="F2132"/>
      <c r="G2132"/>
      <c r="I2132"/>
      <c r="J2132"/>
    </row>
    <row r="2133" spans="5:10" x14ac:dyDescent="0.2">
      <c r="E2133"/>
      <c r="F2133"/>
      <c r="G2133"/>
      <c r="I2133"/>
      <c r="J2133"/>
    </row>
    <row r="2134" spans="5:10" x14ac:dyDescent="0.2">
      <c r="E2134"/>
      <c r="F2134"/>
      <c r="G2134"/>
      <c r="I2134"/>
      <c r="J2134"/>
    </row>
    <row r="2135" spans="5:10" x14ac:dyDescent="0.2">
      <c r="E2135"/>
      <c r="F2135"/>
      <c r="G2135"/>
      <c r="I2135"/>
      <c r="J2135"/>
    </row>
    <row r="2136" spans="5:10" x14ac:dyDescent="0.2">
      <c r="E2136"/>
      <c r="F2136"/>
      <c r="G2136"/>
      <c r="I2136"/>
      <c r="J2136"/>
    </row>
    <row r="2137" spans="5:10" x14ac:dyDescent="0.2">
      <c r="E2137"/>
      <c r="F2137"/>
      <c r="G2137"/>
      <c r="I2137"/>
      <c r="J2137"/>
    </row>
    <row r="2138" spans="5:10" x14ac:dyDescent="0.2">
      <c r="E2138"/>
      <c r="F2138"/>
      <c r="G2138"/>
      <c r="I2138"/>
      <c r="J2138"/>
    </row>
    <row r="2139" spans="5:10" x14ac:dyDescent="0.2">
      <c r="E2139"/>
      <c r="F2139"/>
      <c r="G2139"/>
      <c r="I2139"/>
      <c r="J2139"/>
    </row>
    <row r="2140" spans="5:10" x14ac:dyDescent="0.2">
      <c r="E2140"/>
      <c r="F2140"/>
      <c r="G2140"/>
      <c r="I2140"/>
      <c r="J2140"/>
    </row>
    <row r="2141" spans="5:10" x14ac:dyDescent="0.2">
      <c r="E2141"/>
      <c r="F2141"/>
      <c r="G2141"/>
      <c r="I2141"/>
      <c r="J2141"/>
    </row>
    <row r="2142" spans="5:10" x14ac:dyDescent="0.2">
      <c r="E2142"/>
      <c r="F2142"/>
      <c r="G2142"/>
      <c r="I2142"/>
      <c r="J2142"/>
    </row>
    <row r="2143" spans="5:10" x14ac:dyDescent="0.2">
      <c r="E2143"/>
      <c r="F2143"/>
      <c r="G2143"/>
      <c r="I2143"/>
      <c r="J2143"/>
    </row>
    <row r="2144" spans="5:10" x14ac:dyDescent="0.2">
      <c r="E2144"/>
      <c r="F2144"/>
      <c r="G2144"/>
      <c r="I2144"/>
      <c r="J2144"/>
    </row>
    <row r="2145" spans="5:10" x14ac:dyDescent="0.2">
      <c r="E2145"/>
      <c r="F2145"/>
      <c r="G2145"/>
      <c r="I2145"/>
      <c r="J2145"/>
    </row>
    <row r="2146" spans="5:10" x14ac:dyDescent="0.2">
      <c r="E2146"/>
      <c r="F2146"/>
      <c r="G2146"/>
      <c r="I2146"/>
      <c r="J2146"/>
    </row>
    <row r="2147" spans="5:10" x14ac:dyDescent="0.2">
      <c r="E2147"/>
      <c r="F2147"/>
      <c r="G2147"/>
      <c r="I2147"/>
      <c r="J2147"/>
    </row>
    <row r="2148" spans="5:10" x14ac:dyDescent="0.2">
      <c r="E2148"/>
      <c r="F2148"/>
      <c r="G2148"/>
      <c r="I2148"/>
      <c r="J2148"/>
    </row>
    <row r="2149" spans="5:10" x14ac:dyDescent="0.2">
      <c r="E2149"/>
      <c r="F2149"/>
      <c r="G2149"/>
      <c r="I2149"/>
      <c r="J2149"/>
    </row>
    <row r="2150" spans="5:10" x14ac:dyDescent="0.2">
      <c r="E2150"/>
      <c r="F2150"/>
      <c r="G2150"/>
      <c r="I2150"/>
      <c r="J2150"/>
    </row>
    <row r="2151" spans="5:10" x14ac:dyDescent="0.2">
      <c r="E2151"/>
      <c r="F2151"/>
      <c r="G2151"/>
      <c r="I2151"/>
      <c r="J2151"/>
    </row>
    <row r="2152" spans="5:10" x14ac:dyDescent="0.2">
      <c r="E2152"/>
      <c r="F2152"/>
      <c r="G2152"/>
      <c r="I2152"/>
      <c r="J2152"/>
    </row>
    <row r="2153" spans="5:10" x14ac:dyDescent="0.2">
      <c r="E2153"/>
      <c r="F2153"/>
      <c r="G2153"/>
      <c r="I2153"/>
      <c r="J2153"/>
    </row>
    <row r="2154" spans="5:10" x14ac:dyDescent="0.2">
      <c r="E2154"/>
      <c r="F2154"/>
      <c r="G2154"/>
      <c r="I2154"/>
      <c r="J2154"/>
    </row>
    <row r="2155" spans="5:10" x14ac:dyDescent="0.2">
      <c r="E2155"/>
      <c r="F2155"/>
      <c r="G2155"/>
      <c r="I2155"/>
      <c r="J2155"/>
    </row>
    <row r="2156" spans="5:10" x14ac:dyDescent="0.2">
      <c r="E2156"/>
      <c r="F2156"/>
      <c r="G2156"/>
      <c r="I2156"/>
      <c r="J2156"/>
    </row>
    <row r="2157" spans="5:10" x14ac:dyDescent="0.2">
      <c r="E2157"/>
      <c r="F2157"/>
      <c r="G2157"/>
      <c r="I2157"/>
      <c r="J2157"/>
    </row>
    <row r="2158" spans="5:10" x14ac:dyDescent="0.2">
      <c r="E2158"/>
      <c r="F2158"/>
      <c r="G2158"/>
      <c r="I2158"/>
      <c r="J2158"/>
    </row>
    <row r="2159" spans="5:10" x14ac:dyDescent="0.2">
      <c r="E2159"/>
      <c r="F2159"/>
      <c r="G2159"/>
      <c r="I2159"/>
      <c r="J2159"/>
    </row>
    <row r="2160" spans="5:10" x14ac:dyDescent="0.2">
      <c r="E2160"/>
      <c r="F2160"/>
      <c r="G2160"/>
      <c r="I2160"/>
      <c r="J2160"/>
    </row>
    <row r="2161" spans="5:10" x14ac:dyDescent="0.2">
      <c r="E2161"/>
      <c r="F2161"/>
      <c r="G2161"/>
      <c r="I2161"/>
      <c r="J2161"/>
    </row>
    <row r="2162" spans="5:10" x14ac:dyDescent="0.2">
      <c r="E2162"/>
      <c r="F2162"/>
      <c r="G2162"/>
      <c r="I2162"/>
      <c r="J2162"/>
    </row>
    <row r="2163" spans="5:10" x14ac:dyDescent="0.2">
      <c r="E2163"/>
      <c r="F2163"/>
      <c r="G2163"/>
      <c r="I2163"/>
      <c r="J2163"/>
    </row>
    <row r="2164" spans="5:10" x14ac:dyDescent="0.2">
      <c r="E2164"/>
      <c r="F2164"/>
      <c r="G2164"/>
      <c r="I2164"/>
      <c r="J2164"/>
    </row>
    <row r="2165" spans="5:10" x14ac:dyDescent="0.2">
      <c r="E2165"/>
      <c r="F2165"/>
      <c r="G2165"/>
      <c r="I2165"/>
      <c r="J2165"/>
    </row>
    <row r="2166" spans="5:10" x14ac:dyDescent="0.2">
      <c r="E2166"/>
      <c r="F2166"/>
      <c r="G2166"/>
      <c r="I2166"/>
      <c r="J2166"/>
    </row>
    <row r="2167" spans="5:10" x14ac:dyDescent="0.2">
      <c r="E2167"/>
      <c r="F2167"/>
      <c r="G2167"/>
      <c r="I2167"/>
      <c r="J2167"/>
    </row>
    <row r="2168" spans="5:10" x14ac:dyDescent="0.2">
      <c r="E2168"/>
      <c r="F2168"/>
      <c r="G2168"/>
      <c r="I2168"/>
      <c r="J2168"/>
    </row>
    <row r="2169" spans="5:10" x14ac:dyDescent="0.2">
      <c r="E2169"/>
      <c r="F2169"/>
      <c r="G2169"/>
      <c r="I2169"/>
      <c r="J2169"/>
    </row>
    <row r="2170" spans="5:10" x14ac:dyDescent="0.2">
      <c r="E2170"/>
      <c r="F2170"/>
      <c r="G2170"/>
      <c r="I2170"/>
      <c r="J2170"/>
    </row>
    <row r="2171" spans="5:10" x14ac:dyDescent="0.2">
      <c r="E2171"/>
      <c r="F2171"/>
      <c r="G2171"/>
      <c r="I2171"/>
      <c r="J2171"/>
    </row>
    <row r="2172" spans="5:10" x14ac:dyDescent="0.2">
      <c r="E2172"/>
      <c r="F2172"/>
      <c r="G2172"/>
      <c r="I2172"/>
      <c r="J2172"/>
    </row>
    <row r="2173" spans="5:10" x14ac:dyDescent="0.2">
      <c r="E2173"/>
      <c r="F2173"/>
      <c r="G2173"/>
      <c r="I2173"/>
      <c r="J2173"/>
    </row>
    <row r="2174" spans="5:10" x14ac:dyDescent="0.2">
      <c r="E2174"/>
      <c r="F2174"/>
      <c r="G2174"/>
      <c r="I2174"/>
      <c r="J2174"/>
    </row>
    <row r="2175" spans="5:10" x14ac:dyDescent="0.2">
      <c r="E2175"/>
      <c r="F2175"/>
      <c r="G2175"/>
      <c r="I2175"/>
      <c r="J2175"/>
    </row>
    <row r="2176" spans="5:10" x14ac:dyDescent="0.2">
      <c r="E2176"/>
      <c r="F2176"/>
      <c r="G2176"/>
      <c r="I2176"/>
      <c r="J2176"/>
    </row>
    <row r="2177" spans="5:10" x14ac:dyDescent="0.2">
      <c r="E2177"/>
      <c r="F2177"/>
      <c r="G2177"/>
      <c r="I2177"/>
      <c r="J2177"/>
    </row>
    <row r="2178" spans="5:10" x14ac:dyDescent="0.2">
      <c r="E2178"/>
      <c r="F2178"/>
      <c r="G2178"/>
      <c r="I2178"/>
      <c r="J2178"/>
    </row>
    <row r="2179" spans="5:10" x14ac:dyDescent="0.2">
      <c r="E2179"/>
      <c r="F2179"/>
      <c r="G2179"/>
      <c r="I2179"/>
      <c r="J2179"/>
    </row>
    <row r="2180" spans="5:10" x14ac:dyDescent="0.2">
      <c r="E2180"/>
      <c r="F2180"/>
      <c r="G2180"/>
      <c r="I2180"/>
      <c r="J2180"/>
    </row>
    <row r="2181" spans="5:10" x14ac:dyDescent="0.2">
      <c r="E2181"/>
      <c r="F2181"/>
      <c r="G2181"/>
      <c r="I2181"/>
      <c r="J2181"/>
    </row>
    <row r="2182" spans="5:10" x14ac:dyDescent="0.2">
      <c r="E2182"/>
      <c r="F2182"/>
      <c r="G2182"/>
      <c r="I2182"/>
      <c r="J2182"/>
    </row>
    <row r="2183" spans="5:10" x14ac:dyDescent="0.2">
      <c r="E2183"/>
      <c r="F2183"/>
      <c r="G2183"/>
      <c r="I2183"/>
      <c r="J2183"/>
    </row>
    <row r="2184" spans="5:10" x14ac:dyDescent="0.2">
      <c r="E2184"/>
      <c r="F2184"/>
      <c r="G2184"/>
      <c r="I2184"/>
      <c r="J2184"/>
    </row>
    <row r="2185" spans="5:10" x14ac:dyDescent="0.2">
      <c r="E2185"/>
      <c r="F2185"/>
      <c r="G2185"/>
      <c r="I2185"/>
      <c r="J2185"/>
    </row>
    <row r="2186" spans="5:10" x14ac:dyDescent="0.2">
      <c r="E2186"/>
      <c r="F2186"/>
      <c r="G2186"/>
      <c r="I2186"/>
      <c r="J2186"/>
    </row>
    <row r="2187" spans="5:10" x14ac:dyDescent="0.2">
      <c r="E2187"/>
      <c r="F2187"/>
      <c r="G2187"/>
      <c r="I2187"/>
      <c r="J2187"/>
    </row>
    <row r="2188" spans="5:10" x14ac:dyDescent="0.2">
      <c r="E2188"/>
      <c r="F2188"/>
      <c r="G2188"/>
      <c r="I2188"/>
      <c r="J2188"/>
    </row>
    <row r="2189" spans="5:10" x14ac:dyDescent="0.2">
      <c r="E2189"/>
      <c r="F2189"/>
      <c r="G2189"/>
      <c r="I2189"/>
      <c r="J2189"/>
    </row>
    <row r="2190" spans="5:10" x14ac:dyDescent="0.2">
      <c r="E2190"/>
      <c r="F2190"/>
      <c r="G2190"/>
      <c r="I2190"/>
      <c r="J2190"/>
    </row>
    <row r="2191" spans="5:10" x14ac:dyDescent="0.2">
      <c r="E2191"/>
      <c r="F2191"/>
      <c r="G2191"/>
      <c r="I2191"/>
      <c r="J2191"/>
    </row>
    <row r="2192" spans="5:10" x14ac:dyDescent="0.2">
      <c r="E2192"/>
      <c r="F2192"/>
      <c r="G2192"/>
      <c r="I2192"/>
      <c r="J2192"/>
    </row>
    <row r="2193" spans="5:10" x14ac:dyDescent="0.2">
      <c r="E2193"/>
      <c r="F2193"/>
      <c r="G2193"/>
      <c r="I2193"/>
      <c r="J2193"/>
    </row>
    <row r="2194" spans="5:10" x14ac:dyDescent="0.2">
      <c r="E2194"/>
      <c r="F2194"/>
      <c r="G2194"/>
      <c r="I2194"/>
      <c r="J2194"/>
    </row>
    <row r="2195" spans="5:10" x14ac:dyDescent="0.2">
      <c r="E2195"/>
      <c r="F2195"/>
      <c r="G2195"/>
      <c r="I2195"/>
      <c r="J2195"/>
    </row>
    <row r="2196" spans="5:10" x14ac:dyDescent="0.2">
      <c r="E2196"/>
      <c r="F2196"/>
      <c r="G2196"/>
      <c r="I2196"/>
      <c r="J2196"/>
    </row>
    <row r="2197" spans="5:10" x14ac:dyDescent="0.2">
      <c r="E2197"/>
      <c r="F2197"/>
      <c r="G2197"/>
      <c r="I2197"/>
      <c r="J2197"/>
    </row>
    <row r="2198" spans="5:10" x14ac:dyDescent="0.2">
      <c r="E2198"/>
      <c r="F2198"/>
      <c r="G2198"/>
      <c r="I2198"/>
      <c r="J2198"/>
    </row>
    <row r="2199" spans="5:10" x14ac:dyDescent="0.2">
      <c r="E2199"/>
      <c r="F2199"/>
      <c r="G2199"/>
      <c r="I2199"/>
      <c r="J2199"/>
    </row>
    <row r="2200" spans="5:10" x14ac:dyDescent="0.2">
      <c r="E2200"/>
      <c r="F2200"/>
      <c r="G2200"/>
      <c r="I2200"/>
      <c r="J2200"/>
    </row>
    <row r="2201" spans="5:10" x14ac:dyDescent="0.2">
      <c r="E2201"/>
      <c r="F2201"/>
      <c r="G2201"/>
      <c r="I2201"/>
      <c r="J2201"/>
    </row>
    <row r="2202" spans="5:10" x14ac:dyDescent="0.2">
      <c r="E2202"/>
      <c r="F2202"/>
      <c r="G2202"/>
      <c r="I2202"/>
      <c r="J2202"/>
    </row>
    <row r="2203" spans="5:10" x14ac:dyDescent="0.2">
      <c r="E2203"/>
      <c r="F2203"/>
      <c r="G2203"/>
      <c r="I2203"/>
      <c r="J2203"/>
    </row>
    <row r="2204" spans="5:10" x14ac:dyDescent="0.2">
      <c r="E2204"/>
      <c r="F2204"/>
      <c r="G2204"/>
      <c r="I2204"/>
      <c r="J2204"/>
    </row>
    <row r="2205" spans="5:10" x14ac:dyDescent="0.2">
      <c r="E2205"/>
      <c r="F2205"/>
      <c r="G2205"/>
      <c r="I2205"/>
      <c r="J2205"/>
    </row>
    <row r="2206" spans="5:10" x14ac:dyDescent="0.2">
      <c r="E2206"/>
      <c r="F2206"/>
      <c r="G2206"/>
      <c r="I2206"/>
      <c r="J2206"/>
    </row>
    <row r="2207" spans="5:10" x14ac:dyDescent="0.2">
      <c r="E2207"/>
      <c r="F2207"/>
      <c r="G2207"/>
      <c r="I2207"/>
      <c r="J2207"/>
    </row>
    <row r="2208" spans="5:10" x14ac:dyDescent="0.2">
      <c r="E2208"/>
      <c r="F2208"/>
      <c r="G2208"/>
      <c r="I2208"/>
      <c r="J2208"/>
    </row>
    <row r="2209" spans="5:10" x14ac:dyDescent="0.2">
      <c r="E2209"/>
      <c r="F2209"/>
      <c r="G2209"/>
      <c r="I2209"/>
      <c r="J2209"/>
    </row>
    <row r="2210" spans="5:10" x14ac:dyDescent="0.2">
      <c r="E2210"/>
      <c r="F2210"/>
      <c r="G2210"/>
      <c r="I2210"/>
      <c r="J2210"/>
    </row>
    <row r="2211" spans="5:10" x14ac:dyDescent="0.2">
      <c r="E2211"/>
      <c r="F2211"/>
      <c r="G2211"/>
      <c r="I2211"/>
      <c r="J2211"/>
    </row>
    <row r="2212" spans="5:10" x14ac:dyDescent="0.2">
      <c r="E2212"/>
      <c r="F2212"/>
      <c r="G2212"/>
      <c r="I2212"/>
      <c r="J2212"/>
    </row>
    <row r="2213" spans="5:10" x14ac:dyDescent="0.2">
      <c r="E2213"/>
      <c r="F2213"/>
      <c r="G2213"/>
      <c r="I2213"/>
      <c r="J2213"/>
    </row>
    <row r="2214" spans="5:10" x14ac:dyDescent="0.2">
      <c r="E2214"/>
      <c r="F2214"/>
      <c r="G2214"/>
      <c r="I2214"/>
      <c r="J2214"/>
    </row>
    <row r="2215" spans="5:10" x14ac:dyDescent="0.2">
      <c r="E2215"/>
      <c r="F2215"/>
      <c r="G2215"/>
      <c r="I2215"/>
      <c r="J2215"/>
    </row>
    <row r="2216" spans="5:10" x14ac:dyDescent="0.2">
      <c r="E2216"/>
      <c r="F2216"/>
      <c r="G2216"/>
      <c r="I2216"/>
      <c r="J2216"/>
    </row>
    <row r="2217" spans="5:10" x14ac:dyDescent="0.2">
      <c r="E2217"/>
      <c r="F2217"/>
      <c r="G2217"/>
      <c r="I2217"/>
      <c r="J2217"/>
    </row>
    <row r="2218" spans="5:10" x14ac:dyDescent="0.2">
      <c r="E2218"/>
      <c r="F2218"/>
      <c r="G2218"/>
      <c r="I2218"/>
      <c r="J2218"/>
    </row>
    <row r="2219" spans="5:10" x14ac:dyDescent="0.2">
      <c r="E2219"/>
      <c r="F2219"/>
      <c r="G2219"/>
      <c r="I2219"/>
      <c r="J2219"/>
    </row>
    <row r="2220" spans="5:10" x14ac:dyDescent="0.2">
      <c r="E2220"/>
      <c r="F2220"/>
      <c r="G2220"/>
      <c r="I2220"/>
      <c r="J2220"/>
    </row>
    <row r="2221" spans="5:10" x14ac:dyDescent="0.2">
      <c r="E2221"/>
      <c r="F2221"/>
      <c r="G2221"/>
      <c r="I2221"/>
      <c r="J2221"/>
    </row>
    <row r="2222" spans="5:10" x14ac:dyDescent="0.2">
      <c r="E2222"/>
      <c r="F2222"/>
      <c r="G2222"/>
      <c r="I2222"/>
      <c r="J2222"/>
    </row>
    <row r="2223" spans="5:10" x14ac:dyDescent="0.2">
      <c r="E2223"/>
      <c r="F2223"/>
      <c r="G2223"/>
      <c r="I2223"/>
      <c r="J2223"/>
    </row>
    <row r="2224" spans="5:10" x14ac:dyDescent="0.2">
      <c r="E2224"/>
      <c r="F2224"/>
      <c r="G2224"/>
      <c r="I2224"/>
      <c r="J2224"/>
    </row>
    <row r="2225" spans="5:10" x14ac:dyDescent="0.2">
      <c r="E2225"/>
      <c r="F2225"/>
      <c r="G2225"/>
      <c r="I2225"/>
      <c r="J2225"/>
    </row>
    <row r="2226" spans="5:10" x14ac:dyDescent="0.2">
      <c r="E2226"/>
      <c r="F2226"/>
      <c r="G2226"/>
      <c r="I2226"/>
      <c r="J2226"/>
    </row>
    <row r="2227" spans="5:10" x14ac:dyDescent="0.2">
      <c r="E2227"/>
      <c r="F2227"/>
      <c r="G2227"/>
      <c r="I2227"/>
      <c r="J2227"/>
    </row>
    <row r="2228" spans="5:10" x14ac:dyDescent="0.2">
      <c r="E2228"/>
      <c r="F2228"/>
      <c r="G2228"/>
      <c r="I2228"/>
      <c r="J2228"/>
    </row>
    <row r="2229" spans="5:10" x14ac:dyDescent="0.2">
      <c r="E2229"/>
      <c r="F2229"/>
      <c r="G2229"/>
      <c r="I2229"/>
      <c r="J2229"/>
    </row>
    <row r="2230" spans="5:10" x14ac:dyDescent="0.2">
      <c r="E2230"/>
      <c r="F2230"/>
      <c r="G2230"/>
      <c r="I2230"/>
      <c r="J2230"/>
    </row>
    <row r="2231" spans="5:10" x14ac:dyDescent="0.2">
      <c r="E2231"/>
      <c r="F2231"/>
      <c r="G2231"/>
      <c r="I2231"/>
      <c r="J2231"/>
    </row>
    <row r="2232" spans="5:10" x14ac:dyDescent="0.2">
      <c r="E2232"/>
      <c r="F2232"/>
      <c r="G2232"/>
      <c r="I2232"/>
      <c r="J2232"/>
    </row>
    <row r="2233" spans="5:10" x14ac:dyDescent="0.2">
      <c r="E2233"/>
      <c r="F2233"/>
      <c r="G2233"/>
      <c r="I2233"/>
      <c r="J2233"/>
    </row>
    <row r="2234" spans="5:10" x14ac:dyDescent="0.2">
      <c r="E2234"/>
      <c r="F2234"/>
      <c r="G2234"/>
      <c r="I2234"/>
      <c r="J2234"/>
    </row>
    <row r="2235" spans="5:10" x14ac:dyDescent="0.2">
      <c r="E2235"/>
      <c r="F2235"/>
      <c r="G2235"/>
      <c r="I2235"/>
      <c r="J2235"/>
    </row>
    <row r="2236" spans="5:10" x14ac:dyDescent="0.2">
      <c r="E2236"/>
      <c r="F2236"/>
      <c r="G2236"/>
      <c r="I2236"/>
      <c r="J2236"/>
    </row>
    <row r="2237" spans="5:10" x14ac:dyDescent="0.2">
      <c r="E2237"/>
      <c r="F2237"/>
      <c r="G2237"/>
      <c r="I2237"/>
      <c r="J2237"/>
    </row>
    <row r="2238" spans="5:10" x14ac:dyDescent="0.2">
      <c r="E2238"/>
      <c r="F2238"/>
      <c r="G2238"/>
      <c r="I2238"/>
      <c r="J2238"/>
    </row>
    <row r="2239" spans="5:10" x14ac:dyDescent="0.2">
      <c r="E2239"/>
      <c r="F2239"/>
      <c r="G2239"/>
      <c r="I2239"/>
      <c r="J2239"/>
    </row>
    <row r="2240" spans="5:10" x14ac:dyDescent="0.2">
      <c r="E2240"/>
      <c r="F2240"/>
      <c r="G2240"/>
      <c r="I2240"/>
      <c r="J2240"/>
    </row>
    <row r="2241" spans="5:10" x14ac:dyDescent="0.2">
      <c r="E2241"/>
      <c r="F2241"/>
      <c r="G2241"/>
      <c r="I2241"/>
      <c r="J2241"/>
    </row>
    <row r="2242" spans="5:10" x14ac:dyDescent="0.2">
      <c r="E2242"/>
      <c r="F2242"/>
      <c r="G2242"/>
      <c r="I2242"/>
      <c r="J2242"/>
    </row>
    <row r="2243" spans="5:10" x14ac:dyDescent="0.2">
      <c r="E2243"/>
      <c r="F2243"/>
      <c r="G2243"/>
      <c r="I2243"/>
      <c r="J2243"/>
    </row>
    <row r="2244" spans="5:10" x14ac:dyDescent="0.2">
      <c r="E2244"/>
      <c r="F2244"/>
      <c r="G2244"/>
      <c r="I2244"/>
      <c r="J2244"/>
    </row>
    <row r="2245" spans="5:10" x14ac:dyDescent="0.2">
      <c r="E2245"/>
      <c r="F2245"/>
      <c r="G2245"/>
      <c r="I2245"/>
      <c r="J2245"/>
    </row>
    <row r="2246" spans="5:10" x14ac:dyDescent="0.2">
      <c r="E2246"/>
      <c r="F2246"/>
      <c r="G2246"/>
      <c r="I2246"/>
      <c r="J2246"/>
    </row>
    <row r="2247" spans="5:10" x14ac:dyDescent="0.2">
      <c r="E2247"/>
      <c r="F2247"/>
      <c r="G2247"/>
      <c r="I2247"/>
      <c r="J2247"/>
    </row>
    <row r="2248" spans="5:10" x14ac:dyDescent="0.2">
      <c r="E2248"/>
      <c r="F2248"/>
      <c r="G2248"/>
      <c r="I2248"/>
      <c r="J2248"/>
    </row>
    <row r="2249" spans="5:10" x14ac:dyDescent="0.2">
      <c r="E2249"/>
      <c r="F2249"/>
      <c r="G2249"/>
      <c r="I2249"/>
      <c r="J2249"/>
    </row>
    <row r="2250" spans="5:10" x14ac:dyDescent="0.2">
      <c r="E2250"/>
      <c r="F2250"/>
      <c r="G2250"/>
      <c r="I2250"/>
      <c r="J2250"/>
    </row>
    <row r="2251" spans="5:10" x14ac:dyDescent="0.2">
      <c r="E2251"/>
      <c r="F2251"/>
      <c r="G2251"/>
      <c r="I2251"/>
      <c r="J2251"/>
    </row>
    <row r="2252" spans="5:10" x14ac:dyDescent="0.2">
      <c r="E2252"/>
      <c r="F2252"/>
      <c r="G2252"/>
      <c r="I2252"/>
      <c r="J2252"/>
    </row>
    <row r="2253" spans="5:10" x14ac:dyDescent="0.2">
      <c r="E2253"/>
      <c r="F2253"/>
      <c r="G2253"/>
      <c r="I2253"/>
      <c r="J2253"/>
    </row>
    <row r="2254" spans="5:10" x14ac:dyDescent="0.2">
      <c r="E2254"/>
      <c r="F2254"/>
      <c r="G2254"/>
      <c r="I2254"/>
      <c r="J2254"/>
    </row>
    <row r="2255" spans="5:10" x14ac:dyDescent="0.2">
      <c r="E2255"/>
      <c r="F2255"/>
      <c r="G2255"/>
      <c r="I2255"/>
      <c r="J2255"/>
    </row>
    <row r="2256" spans="5:10" x14ac:dyDescent="0.2">
      <c r="E2256"/>
      <c r="F2256"/>
      <c r="G2256"/>
      <c r="I2256"/>
      <c r="J2256"/>
    </row>
    <row r="2257" spans="5:10" x14ac:dyDescent="0.2">
      <c r="E2257"/>
      <c r="F2257"/>
      <c r="G2257"/>
      <c r="I2257"/>
      <c r="J2257"/>
    </row>
    <row r="2258" spans="5:10" x14ac:dyDescent="0.2">
      <c r="E2258"/>
      <c r="F2258"/>
      <c r="G2258"/>
      <c r="I2258"/>
      <c r="J2258"/>
    </row>
    <row r="2259" spans="5:10" x14ac:dyDescent="0.2">
      <c r="E2259"/>
      <c r="F2259"/>
      <c r="G2259"/>
      <c r="I2259"/>
      <c r="J2259"/>
    </row>
    <row r="2260" spans="5:10" x14ac:dyDescent="0.2">
      <c r="E2260"/>
      <c r="F2260"/>
      <c r="G2260"/>
      <c r="I2260"/>
      <c r="J2260"/>
    </row>
    <row r="2261" spans="5:10" x14ac:dyDescent="0.2">
      <c r="E2261"/>
      <c r="F2261"/>
      <c r="G2261"/>
      <c r="I2261"/>
      <c r="J2261"/>
    </row>
    <row r="2262" spans="5:10" x14ac:dyDescent="0.2">
      <c r="E2262"/>
      <c r="F2262"/>
      <c r="G2262"/>
      <c r="I2262"/>
      <c r="J2262"/>
    </row>
    <row r="2263" spans="5:10" x14ac:dyDescent="0.2">
      <c r="E2263"/>
      <c r="F2263"/>
      <c r="G2263"/>
      <c r="I2263"/>
      <c r="J2263"/>
    </row>
    <row r="2264" spans="5:10" x14ac:dyDescent="0.2">
      <c r="E2264"/>
      <c r="F2264"/>
      <c r="G2264"/>
      <c r="I2264"/>
      <c r="J2264"/>
    </row>
    <row r="2265" spans="5:10" x14ac:dyDescent="0.2">
      <c r="E2265"/>
      <c r="F2265"/>
      <c r="G2265"/>
      <c r="I2265"/>
      <c r="J2265"/>
    </row>
    <row r="2266" spans="5:10" x14ac:dyDescent="0.2">
      <c r="E2266"/>
      <c r="F2266"/>
      <c r="G2266"/>
      <c r="I2266"/>
      <c r="J2266"/>
    </row>
    <row r="2267" spans="5:10" x14ac:dyDescent="0.2">
      <c r="E2267"/>
      <c r="F2267"/>
      <c r="G2267"/>
      <c r="I2267"/>
      <c r="J2267"/>
    </row>
    <row r="2268" spans="5:10" x14ac:dyDescent="0.2">
      <c r="E2268"/>
      <c r="F2268"/>
      <c r="G2268"/>
      <c r="I2268"/>
      <c r="J2268"/>
    </row>
    <row r="2269" spans="5:10" x14ac:dyDescent="0.2">
      <c r="E2269"/>
      <c r="F2269"/>
      <c r="G2269"/>
      <c r="I2269"/>
      <c r="J2269"/>
    </row>
    <row r="2270" spans="5:10" x14ac:dyDescent="0.2">
      <c r="E2270"/>
      <c r="F2270"/>
      <c r="G2270"/>
      <c r="I2270"/>
      <c r="J2270"/>
    </row>
    <row r="2271" spans="5:10" x14ac:dyDescent="0.2">
      <c r="E2271"/>
      <c r="F2271"/>
      <c r="G2271"/>
      <c r="I2271"/>
      <c r="J2271"/>
    </row>
    <row r="2272" spans="5:10" x14ac:dyDescent="0.2">
      <c r="E2272"/>
      <c r="F2272"/>
      <c r="G2272"/>
      <c r="I2272"/>
      <c r="J2272"/>
    </row>
    <row r="2273" spans="5:10" x14ac:dyDescent="0.2">
      <c r="E2273"/>
      <c r="F2273"/>
      <c r="G2273"/>
      <c r="I2273"/>
      <c r="J2273"/>
    </row>
    <row r="2274" spans="5:10" x14ac:dyDescent="0.2">
      <c r="E2274"/>
      <c r="F2274"/>
      <c r="G2274"/>
      <c r="I2274"/>
      <c r="J2274"/>
    </row>
    <row r="2275" spans="5:10" x14ac:dyDescent="0.2">
      <c r="E2275"/>
      <c r="F2275"/>
      <c r="G2275"/>
      <c r="I2275"/>
      <c r="J2275"/>
    </row>
    <row r="2276" spans="5:10" x14ac:dyDescent="0.2">
      <c r="E2276"/>
      <c r="F2276"/>
      <c r="G2276"/>
      <c r="I2276"/>
      <c r="J2276"/>
    </row>
    <row r="2277" spans="5:10" x14ac:dyDescent="0.2">
      <c r="E2277"/>
      <c r="F2277"/>
      <c r="G2277"/>
      <c r="I2277"/>
      <c r="J2277"/>
    </row>
    <row r="2278" spans="5:10" x14ac:dyDescent="0.2">
      <c r="E2278"/>
      <c r="F2278"/>
      <c r="G2278"/>
      <c r="I2278"/>
      <c r="J2278"/>
    </row>
    <row r="2279" spans="5:10" x14ac:dyDescent="0.2">
      <c r="E2279"/>
      <c r="F2279"/>
      <c r="G2279"/>
      <c r="I2279"/>
      <c r="J2279"/>
    </row>
    <row r="2280" spans="5:10" x14ac:dyDescent="0.2">
      <c r="E2280"/>
      <c r="F2280"/>
      <c r="G2280"/>
      <c r="I2280"/>
      <c r="J2280"/>
    </row>
    <row r="2281" spans="5:10" x14ac:dyDescent="0.2">
      <c r="E2281"/>
      <c r="F2281"/>
      <c r="G2281"/>
      <c r="I2281"/>
      <c r="J2281"/>
    </row>
    <row r="2282" spans="5:10" x14ac:dyDescent="0.2">
      <c r="E2282"/>
      <c r="F2282"/>
      <c r="G2282"/>
      <c r="I2282"/>
      <c r="J2282"/>
    </row>
    <row r="2283" spans="5:10" x14ac:dyDescent="0.2">
      <c r="E2283"/>
      <c r="F2283"/>
      <c r="G2283"/>
      <c r="I2283"/>
      <c r="J2283"/>
    </row>
    <row r="2284" spans="5:10" x14ac:dyDescent="0.2">
      <c r="E2284"/>
      <c r="F2284"/>
      <c r="G2284"/>
      <c r="I2284"/>
      <c r="J2284"/>
    </row>
    <row r="2285" spans="5:10" x14ac:dyDescent="0.2">
      <c r="E2285"/>
      <c r="F2285"/>
      <c r="G2285"/>
      <c r="I2285"/>
      <c r="J2285"/>
    </row>
    <row r="2286" spans="5:10" x14ac:dyDescent="0.2">
      <c r="E2286"/>
      <c r="F2286"/>
      <c r="G2286"/>
      <c r="I2286"/>
      <c r="J2286"/>
    </row>
    <row r="2287" spans="5:10" x14ac:dyDescent="0.2">
      <c r="E2287"/>
      <c r="F2287"/>
      <c r="G2287"/>
      <c r="I2287"/>
      <c r="J2287"/>
    </row>
    <row r="2288" spans="5:10" x14ac:dyDescent="0.2">
      <c r="E2288"/>
      <c r="F2288"/>
      <c r="G2288"/>
      <c r="I2288"/>
      <c r="J2288"/>
    </row>
    <row r="2289" spans="5:10" x14ac:dyDescent="0.2">
      <c r="E2289"/>
      <c r="F2289"/>
      <c r="G2289"/>
      <c r="I2289"/>
      <c r="J2289"/>
    </row>
    <row r="2290" spans="5:10" x14ac:dyDescent="0.2">
      <c r="E2290"/>
      <c r="F2290"/>
      <c r="G2290"/>
      <c r="I2290"/>
      <c r="J2290"/>
    </row>
    <row r="2291" spans="5:10" x14ac:dyDescent="0.2">
      <c r="E2291"/>
      <c r="F2291"/>
      <c r="G2291"/>
      <c r="I2291"/>
      <c r="J2291"/>
    </row>
    <row r="2292" spans="5:10" x14ac:dyDescent="0.2">
      <c r="E2292"/>
      <c r="F2292"/>
      <c r="G2292"/>
      <c r="I2292"/>
      <c r="J2292"/>
    </row>
    <row r="2293" spans="5:10" x14ac:dyDescent="0.2">
      <c r="E2293"/>
      <c r="F2293"/>
      <c r="G2293"/>
      <c r="I2293"/>
      <c r="J2293"/>
    </row>
    <row r="2294" spans="5:10" x14ac:dyDescent="0.2">
      <c r="E2294"/>
      <c r="F2294"/>
      <c r="G2294"/>
      <c r="I2294"/>
      <c r="J2294"/>
    </row>
    <row r="2295" spans="5:10" x14ac:dyDescent="0.2">
      <c r="E2295"/>
      <c r="F2295"/>
      <c r="G2295"/>
      <c r="I2295"/>
      <c r="J2295"/>
    </row>
    <row r="2296" spans="5:10" x14ac:dyDescent="0.2">
      <c r="E2296"/>
      <c r="F2296"/>
      <c r="G2296"/>
      <c r="I2296"/>
      <c r="J2296"/>
    </row>
    <row r="2297" spans="5:10" x14ac:dyDescent="0.2">
      <c r="E2297"/>
      <c r="F2297"/>
      <c r="G2297"/>
      <c r="I2297"/>
      <c r="J2297"/>
    </row>
    <row r="2298" spans="5:10" x14ac:dyDescent="0.2">
      <c r="E2298"/>
      <c r="F2298"/>
      <c r="G2298"/>
      <c r="I2298"/>
      <c r="J2298"/>
    </row>
    <row r="2299" spans="5:10" x14ac:dyDescent="0.2">
      <c r="E2299"/>
      <c r="F2299"/>
      <c r="G2299"/>
      <c r="I2299"/>
      <c r="J2299"/>
    </row>
    <row r="2300" spans="5:10" x14ac:dyDescent="0.2">
      <c r="E2300"/>
      <c r="F2300"/>
      <c r="G2300"/>
      <c r="I2300"/>
      <c r="J2300"/>
    </row>
    <row r="2301" spans="5:10" x14ac:dyDescent="0.2">
      <c r="E2301"/>
      <c r="F2301"/>
      <c r="G2301"/>
      <c r="I2301"/>
      <c r="J2301"/>
    </row>
    <row r="2302" spans="5:10" x14ac:dyDescent="0.2">
      <c r="E2302"/>
      <c r="F2302"/>
      <c r="G2302"/>
      <c r="I2302"/>
      <c r="J2302"/>
    </row>
    <row r="2303" spans="5:10" x14ac:dyDescent="0.2">
      <c r="E2303"/>
      <c r="F2303"/>
      <c r="G2303"/>
      <c r="I2303"/>
      <c r="J2303"/>
    </row>
    <row r="2304" spans="5:10" x14ac:dyDescent="0.2">
      <c r="E2304"/>
      <c r="F2304"/>
      <c r="G2304"/>
      <c r="I2304"/>
      <c r="J2304"/>
    </row>
    <row r="2305" spans="5:10" x14ac:dyDescent="0.2">
      <c r="E2305"/>
      <c r="F2305"/>
      <c r="G2305"/>
      <c r="I2305"/>
      <c r="J2305"/>
    </row>
    <row r="2306" spans="5:10" x14ac:dyDescent="0.2">
      <c r="E2306"/>
      <c r="F2306"/>
      <c r="G2306"/>
      <c r="I2306"/>
      <c r="J2306"/>
    </row>
    <row r="2307" spans="5:10" x14ac:dyDescent="0.2">
      <c r="E2307"/>
      <c r="F2307"/>
      <c r="G2307"/>
      <c r="I2307"/>
      <c r="J2307"/>
    </row>
    <row r="2308" spans="5:10" x14ac:dyDescent="0.2">
      <c r="E2308"/>
      <c r="F2308"/>
      <c r="G2308"/>
      <c r="I2308"/>
      <c r="J2308"/>
    </row>
    <row r="2309" spans="5:10" x14ac:dyDescent="0.2">
      <c r="E2309"/>
      <c r="F2309"/>
      <c r="G2309"/>
      <c r="I2309"/>
      <c r="J2309"/>
    </row>
    <row r="2310" spans="5:10" x14ac:dyDescent="0.2">
      <c r="E2310"/>
      <c r="F2310"/>
      <c r="G2310"/>
      <c r="I2310"/>
      <c r="J2310"/>
    </row>
    <row r="2311" spans="5:10" x14ac:dyDescent="0.2">
      <c r="E2311"/>
      <c r="F2311"/>
      <c r="G2311"/>
      <c r="I2311"/>
      <c r="J2311"/>
    </row>
    <row r="2312" spans="5:10" x14ac:dyDescent="0.2">
      <c r="E2312"/>
      <c r="F2312"/>
      <c r="G2312"/>
      <c r="I2312"/>
      <c r="J2312"/>
    </row>
    <row r="2313" spans="5:10" x14ac:dyDescent="0.2">
      <c r="E2313"/>
      <c r="F2313"/>
      <c r="G2313"/>
      <c r="I2313"/>
      <c r="J2313"/>
    </row>
    <row r="2314" spans="5:10" x14ac:dyDescent="0.2">
      <c r="E2314"/>
      <c r="F2314"/>
      <c r="G2314"/>
      <c r="I2314"/>
      <c r="J2314"/>
    </row>
    <row r="2315" spans="5:10" x14ac:dyDescent="0.2">
      <c r="E2315"/>
      <c r="F2315"/>
      <c r="G2315"/>
      <c r="I2315"/>
      <c r="J2315"/>
    </row>
    <row r="2316" spans="5:10" x14ac:dyDescent="0.2">
      <c r="E2316"/>
      <c r="F2316"/>
      <c r="G2316"/>
      <c r="I2316"/>
      <c r="J2316"/>
    </row>
    <row r="2317" spans="5:10" x14ac:dyDescent="0.2">
      <c r="E2317"/>
      <c r="F2317"/>
      <c r="G2317"/>
      <c r="I2317"/>
      <c r="J2317"/>
    </row>
    <row r="2318" spans="5:10" x14ac:dyDescent="0.2">
      <c r="E2318"/>
      <c r="F2318"/>
      <c r="G2318"/>
      <c r="I2318"/>
      <c r="J2318"/>
    </row>
    <row r="2319" spans="5:10" x14ac:dyDescent="0.2">
      <c r="E2319"/>
      <c r="F2319"/>
      <c r="G2319"/>
      <c r="I2319"/>
      <c r="J2319"/>
    </row>
    <row r="2320" spans="5:10" x14ac:dyDescent="0.2">
      <c r="E2320"/>
      <c r="F2320"/>
      <c r="G2320"/>
      <c r="I2320"/>
      <c r="J2320"/>
    </row>
    <row r="2321" spans="5:10" x14ac:dyDescent="0.2">
      <c r="E2321"/>
      <c r="F2321"/>
      <c r="G2321"/>
      <c r="I2321"/>
      <c r="J2321"/>
    </row>
    <row r="2322" spans="5:10" x14ac:dyDescent="0.2">
      <c r="E2322"/>
      <c r="F2322"/>
      <c r="G2322"/>
      <c r="I2322"/>
      <c r="J2322"/>
    </row>
    <row r="2323" spans="5:10" x14ac:dyDescent="0.2">
      <c r="E2323"/>
      <c r="F2323"/>
      <c r="G2323"/>
      <c r="I2323"/>
      <c r="J2323"/>
    </row>
    <row r="2324" spans="5:10" x14ac:dyDescent="0.2">
      <c r="E2324"/>
      <c r="F2324"/>
      <c r="G2324"/>
      <c r="I2324"/>
      <c r="J2324"/>
    </row>
    <row r="2325" spans="5:10" x14ac:dyDescent="0.2">
      <c r="E2325"/>
      <c r="F2325"/>
      <c r="G2325"/>
      <c r="I2325"/>
      <c r="J2325"/>
    </row>
    <row r="2326" spans="5:10" x14ac:dyDescent="0.2">
      <c r="E2326"/>
      <c r="F2326"/>
      <c r="G2326"/>
      <c r="I2326"/>
      <c r="J2326"/>
    </row>
    <row r="2327" spans="5:10" x14ac:dyDescent="0.2">
      <c r="E2327"/>
      <c r="F2327"/>
      <c r="G2327"/>
      <c r="I2327"/>
      <c r="J2327"/>
    </row>
    <row r="2328" spans="5:10" x14ac:dyDescent="0.2">
      <c r="E2328"/>
      <c r="F2328"/>
      <c r="G2328"/>
      <c r="I2328"/>
      <c r="J2328"/>
    </row>
    <row r="2329" spans="5:10" x14ac:dyDescent="0.2">
      <c r="E2329"/>
      <c r="F2329"/>
      <c r="G2329"/>
      <c r="I2329"/>
      <c r="J2329"/>
    </row>
    <row r="2330" spans="5:10" x14ac:dyDescent="0.2">
      <c r="E2330"/>
      <c r="F2330"/>
      <c r="G2330"/>
      <c r="I2330"/>
      <c r="J2330"/>
    </row>
    <row r="2331" spans="5:10" x14ac:dyDescent="0.2">
      <c r="E2331"/>
      <c r="F2331"/>
      <c r="G2331"/>
      <c r="I2331"/>
      <c r="J2331"/>
    </row>
    <row r="2332" spans="5:10" x14ac:dyDescent="0.2">
      <c r="E2332"/>
      <c r="F2332"/>
      <c r="G2332"/>
      <c r="I2332"/>
      <c r="J2332"/>
    </row>
  </sheetData>
  <pageMargins left="0.23622047244094491" right="0.23622047244094491" top="0.75" bottom="0.74803149606299213" header="0.31496062992125984" footer="0.31496062992125984"/>
  <pageSetup paperSize="9" scale="58" fitToHeight="0" orientation="landscape" r:id="rId2"/>
  <headerFooter>
    <oddHeader>&amp;L&amp;G
&amp;"-,Bold"&amp;12RESD / PRT Writer&amp;R&amp;A</oddHeader>
    <oddFooter>&amp;L&amp;Z&amp;F&amp;RPrinted on: &amp;D @ &amp;T
Page &amp;P of &amp;N</oddFooter>
  </headerFooter>
  <colBreaks count="2" manualBreakCount="2">
    <brk id="6" min="1" max="69" man="1"/>
    <brk id="8" min="1" max="69" man="1"/>
  </colBreaks>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GeneratedFilesLog"/>
  <dimension ref="A1:E411"/>
  <sheetViews>
    <sheetView showGridLines="0" zoomScaleNormal="100" workbookViewId="0">
      <selection activeCell="E3" sqref="E3"/>
    </sheetView>
  </sheetViews>
  <sheetFormatPr defaultRowHeight="12.75" x14ac:dyDescent="0.2"/>
  <cols>
    <col min="1" max="1" width="54.85546875" bestFit="1" customWidth="1"/>
    <col min="2" max="2" width="20.5703125" bestFit="1" customWidth="1"/>
    <col min="3" max="3" width="20" bestFit="1" customWidth="1"/>
    <col min="4" max="4" width="56.5703125" bestFit="1" customWidth="1"/>
    <col min="5" max="5" width="68.28515625" bestFit="1" customWidth="1"/>
    <col min="6" max="6" width="3.28515625" customWidth="1"/>
  </cols>
  <sheetData>
    <row r="1" spans="1:5" x14ac:dyDescent="0.2">
      <c r="A1" s="8" t="s">
        <v>151</v>
      </c>
      <c r="B1" s="8" t="s">
        <v>152</v>
      </c>
      <c r="C1" s="8" t="s">
        <v>153</v>
      </c>
      <c r="D1" s="8" t="s">
        <v>154</v>
      </c>
      <c r="E1" s="8" t="s">
        <v>155</v>
      </c>
    </row>
    <row r="2" spans="1:5" x14ac:dyDescent="0.2">
      <c r="A2" s="29" t="str">
        <f>HYPERLINK("G:\Programming\EngineersTools\WinWriter\Work Instructions\Main Power Transformer 6 Months Electrical Online Inspection.docx","Main Power Transformer 6 Months Electrical Online Inspection")</f>
        <v>Main Power Transformer 6 Months Electrical Online Inspection</v>
      </c>
      <c r="B2" s="25" t="s">
        <v>328</v>
      </c>
      <c r="C2" s="25" t="s">
        <v>301</v>
      </c>
      <c r="D2" s="30" t="str">
        <f>HYPERLINK("G:\Programming\EngineersTools\WinWriter\Work Instructions\","G:\Programming\EngineersTools\WinWriter\Work Instructions\")</f>
        <v>G:\Programming\EngineersTools\WinWriter\Work Instructions\</v>
      </c>
      <c r="E2" s="30" t="str">
        <f>HYPERLINK("G:\Programming\EngineersTools\WinWriter\Work Instruction Template.dotm","G:\Programming\EngineersTools\WinWriter\Work Instruction Template.dotm")</f>
        <v>G:\Programming\EngineersTools\WinWriter\Work Instruction Template.dotm</v>
      </c>
    </row>
    <row r="3" spans="1:5" x14ac:dyDescent="0.2">
      <c r="A3" s="29" t="str">
        <f>HYPERLINK("G:\Programming\EngineersTools\WinWriter\Work Instructions\Main Power Transformer 12 Months Electrical Offline Inspection.docx","Main Power Transformer 12 Months Electrical Offline Inspection")</f>
        <v>Main Power Transformer 12 Months Electrical Offline Inspection</v>
      </c>
      <c r="B3" s="25" t="s">
        <v>329</v>
      </c>
      <c r="C3" s="25" t="s">
        <v>301</v>
      </c>
      <c r="D3" s="30" t="str">
        <f>HYPERLINK("G:\Programming\EngineersTools\WinWriter\Work Instructions\","G:\Programming\EngineersTools\WinWriter\Work Instructions\")</f>
        <v>G:\Programming\EngineersTools\WinWriter\Work Instructions\</v>
      </c>
      <c r="E3" s="30" t="str">
        <f>HYPERLINK("G:\Programming\EngineersTools\WinWriter\Work Instruction Template.dotm","G:\Programming\EngineersTools\WinWriter\Work Instruction Template.dotm")</f>
        <v>G:\Programming\EngineersTools\WinWriter\Work Instruction Template.dotm</v>
      </c>
    </row>
    <row r="4" spans="1:5" x14ac:dyDescent="0.2">
      <c r="A4" s="29"/>
      <c r="B4" s="25"/>
      <c r="C4" s="25"/>
      <c r="D4" s="30"/>
      <c r="E4" s="30"/>
    </row>
    <row r="5" spans="1:5" x14ac:dyDescent="0.2">
      <c r="A5" s="29"/>
      <c r="B5" s="25"/>
      <c r="C5" s="25"/>
      <c r="D5" s="30"/>
      <c r="E5" s="30"/>
    </row>
    <row r="6" spans="1:5" x14ac:dyDescent="0.2">
      <c r="A6" s="29"/>
      <c r="B6" s="25"/>
      <c r="C6" s="25"/>
      <c r="D6" s="30"/>
      <c r="E6" s="30"/>
    </row>
    <row r="7" spans="1:5" x14ac:dyDescent="0.2">
      <c r="A7" s="29"/>
      <c r="B7" s="25"/>
      <c r="C7" s="25"/>
      <c r="D7" s="30"/>
      <c r="E7" s="30"/>
    </row>
    <row r="8" spans="1:5" x14ac:dyDescent="0.2">
      <c r="A8" s="29"/>
      <c r="B8" s="25"/>
      <c r="C8" s="25"/>
      <c r="D8" s="30"/>
      <c r="E8" s="30"/>
    </row>
    <row r="9" spans="1:5" x14ac:dyDescent="0.2">
      <c r="A9" s="29"/>
      <c r="B9" s="25"/>
      <c r="C9" s="25"/>
      <c r="D9" s="30"/>
      <c r="E9" s="30"/>
    </row>
    <row r="10" spans="1:5" x14ac:dyDescent="0.2">
      <c r="A10" s="29"/>
      <c r="B10" s="25"/>
      <c r="C10" s="25"/>
      <c r="D10" s="30"/>
      <c r="E10" s="30"/>
    </row>
    <row r="11" spans="1:5" x14ac:dyDescent="0.2">
      <c r="A11" s="29"/>
      <c r="B11" s="25"/>
      <c r="C11" s="25"/>
      <c r="D11" s="30"/>
      <c r="E11" s="30"/>
    </row>
    <row r="12" spans="1:5" x14ac:dyDescent="0.2">
      <c r="A12" s="29"/>
      <c r="B12" s="25"/>
      <c r="C12" s="25"/>
      <c r="D12" s="30"/>
      <c r="E12" s="30"/>
    </row>
    <row r="13" spans="1:5" x14ac:dyDescent="0.2">
      <c r="A13" s="29"/>
      <c r="B13" s="25"/>
      <c r="C13" s="25"/>
      <c r="D13" s="30"/>
      <c r="E13" s="30"/>
    </row>
    <row r="14" spans="1:5" x14ac:dyDescent="0.2">
      <c r="A14" s="29"/>
      <c r="B14" s="25"/>
      <c r="C14" s="25"/>
      <c r="D14" s="30"/>
      <c r="E14" s="30"/>
    </row>
    <row r="15" spans="1:5" x14ac:dyDescent="0.2">
      <c r="A15" s="29"/>
      <c r="B15" s="25"/>
      <c r="C15" s="25"/>
      <c r="D15" s="30"/>
      <c r="E15" s="30"/>
    </row>
    <row r="16" spans="1:5" x14ac:dyDescent="0.2">
      <c r="A16" s="29"/>
      <c r="B16" s="25"/>
      <c r="C16" s="25"/>
      <c r="D16" s="30"/>
      <c r="E16" s="30"/>
    </row>
    <row r="17" spans="1:5" x14ac:dyDescent="0.2">
      <c r="A17" s="29"/>
      <c r="B17" s="25"/>
      <c r="C17" s="25"/>
      <c r="D17" s="30"/>
      <c r="E17" s="30"/>
    </row>
    <row r="18" spans="1:5" x14ac:dyDescent="0.2">
      <c r="A18" s="29"/>
      <c r="B18" s="25"/>
      <c r="C18" s="25"/>
      <c r="D18" s="30"/>
      <c r="E18" s="30"/>
    </row>
    <row r="19" spans="1:5" x14ac:dyDescent="0.2">
      <c r="A19" s="29"/>
      <c r="B19" s="25"/>
      <c r="C19" s="25"/>
      <c r="D19" s="30"/>
      <c r="E19" s="30"/>
    </row>
    <row r="20" spans="1:5" x14ac:dyDescent="0.2">
      <c r="A20" s="29"/>
      <c r="B20" s="25"/>
      <c r="C20" s="25"/>
      <c r="D20" s="30"/>
      <c r="E20" s="30"/>
    </row>
    <row r="21" spans="1:5" x14ac:dyDescent="0.2">
      <c r="A21" s="29"/>
      <c r="B21" s="25"/>
      <c r="C21" s="25"/>
      <c r="D21" s="30"/>
      <c r="E21" s="30"/>
    </row>
    <row r="22" spans="1:5" x14ac:dyDescent="0.2">
      <c r="A22" s="29"/>
      <c r="B22" s="25"/>
      <c r="C22" s="25"/>
      <c r="D22" s="30"/>
      <c r="E22" s="30"/>
    </row>
    <row r="23" spans="1:5" x14ac:dyDescent="0.2">
      <c r="A23" s="29"/>
      <c r="B23" s="25"/>
      <c r="C23" s="25"/>
      <c r="D23" s="30"/>
      <c r="E23" s="30"/>
    </row>
    <row r="24" spans="1:5" x14ac:dyDescent="0.2">
      <c r="A24" s="29"/>
      <c r="B24" s="25"/>
      <c r="C24" s="25"/>
      <c r="D24" s="30"/>
      <c r="E24" s="30"/>
    </row>
    <row r="25" spans="1:5" x14ac:dyDescent="0.2">
      <c r="A25" s="29"/>
      <c r="B25" s="25"/>
      <c r="C25" s="25"/>
      <c r="D25" s="30"/>
      <c r="E25" s="30"/>
    </row>
    <row r="26" spans="1:5" x14ac:dyDescent="0.2">
      <c r="A26" s="29"/>
      <c r="B26" s="25"/>
      <c r="C26" s="25"/>
      <c r="D26" s="30"/>
      <c r="E26" s="30"/>
    </row>
    <row r="27" spans="1:5" x14ac:dyDescent="0.2">
      <c r="A27" s="29"/>
      <c r="B27" s="25"/>
      <c r="C27" s="25"/>
      <c r="D27" s="30"/>
      <c r="E27" s="30"/>
    </row>
    <row r="28" spans="1:5" x14ac:dyDescent="0.2">
      <c r="A28" s="29"/>
      <c r="B28" s="25"/>
      <c r="C28" s="25"/>
      <c r="D28" s="30"/>
      <c r="E28" s="30"/>
    </row>
    <row r="29" spans="1:5" x14ac:dyDescent="0.2">
      <c r="A29" s="29"/>
      <c r="B29" s="25"/>
      <c r="C29" s="25"/>
      <c r="D29" s="30"/>
      <c r="E29" s="30"/>
    </row>
    <row r="30" spans="1:5" x14ac:dyDescent="0.2">
      <c r="A30" s="29"/>
      <c r="B30" s="25"/>
      <c r="C30" s="25"/>
      <c r="D30" s="30"/>
      <c r="E30" s="30"/>
    </row>
    <row r="31" spans="1:5" x14ac:dyDescent="0.2">
      <c r="A31" s="29"/>
      <c r="B31" s="25"/>
      <c r="C31" s="25"/>
      <c r="D31" s="30"/>
      <c r="E31" s="30"/>
    </row>
    <row r="32" spans="1:5" x14ac:dyDescent="0.2">
      <c r="A32" s="29"/>
      <c r="B32" s="25"/>
      <c r="C32" s="25"/>
      <c r="D32" s="30"/>
      <c r="E32" s="30"/>
    </row>
    <row r="33" spans="1:5" x14ac:dyDescent="0.2">
      <c r="A33" s="29"/>
      <c r="B33" s="25"/>
      <c r="C33" s="25"/>
      <c r="D33" s="30"/>
      <c r="E33" s="30"/>
    </row>
    <row r="34" spans="1:5" x14ac:dyDescent="0.2">
      <c r="A34" s="29"/>
      <c r="B34" s="25"/>
      <c r="C34" s="25"/>
      <c r="D34" s="30"/>
      <c r="E34" s="30"/>
    </row>
    <row r="35" spans="1:5" x14ac:dyDescent="0.2">
      <c r="A35" s="29"/>
      <c r="B35" s="25"/>
      <c r="C35" s="25"/>
      <c r="D35" s="30"/>
      <c r="E35" s="30"/>
    </row>
    <row r="36" spans="1:5" x14ac:dyDescent="0.2">
      <c r="A36" s="29"/>
      <c r="B36" s="25"/>
      <c r="C36" s="25"/>
      <c r="D36" s="30"/>
      <c r="E36" s="30"/>
    </row>
    <row r="37" spans="1:5" x14ac:dyDescent="0.2">
      <c r="A37" s="29"/>
      <c r="B37" s="25"/>
      <c r="C37" s="25"/>
      <c r="D37" s="30"/>
      <c r="E37" s="30"/>
    </row>
    <row r="38" spans="1:5" x14ac:dyDescent="0.2">
      <c r="A38" s="29"/>
      <c r="B38" s="35"/>
      <c r="C38" s="25"/>
      <c r="D38" s="30"/>
      <c r="E38" s="30"/>
    </row>
    <row r="39" spans="1:5" x14ac:dyDescent="0.2">
      <c r="A39" s="29"/>
      <c r="B39" s="35"/>
      <c r="C39" s="25"/>
      <c r="D39" s="30"/>
      <c r="E39" s="30"/>
    </row>
    <row r="40" spans="1:5" x14ac:dyDescent="0.2">
      <c r="A40" s="29"/>
      <c r="B40" s="35"/>
      <c r="C40" s="25"/>
      <c r="D40" s="30"/>
      <c r="E40" s="30"/>
    </row>
    <row r="41" spans="1:5" x14ac:dyDescent="0.2">
      <c r="A41" s="29"/>
      <c r="B41" s="35"/>
      <c r="C41" s="25"/>
      <c r="D41" s="30"/>
      <c r="E41" s="30"/>
    </row>
    <row r="42" spans="1:5" x14ac:dyDescent="0.2">
      <c r="A42" s="29"/>
      <c r="B42" s="35"/>
      <c r="C42" s="25"/>
      <c r="D42" s="30"/>
      <c r="E42" s="30"/>
    </row>
    <row r="43" spans="1:5" x14ac:dyDescent="0.2">
      <c r="A43" s="29"/>
      <c r="B43" s="35"/>
      <c r="C43" s="25"/>
      <c r="D43" s="30"/>
      <c r="E43" s="30"/>
    </row>
    <row r="44" spans="1:5" x14ac:dyDescent="0.2">
      <c r="A44" s="29"/>
      <c r="B44" s="35"/>
      <c r="C44" s="25"/>
      <c r="D44" s="30"/>
      <c r="E44" s="30"/>
    </row>
    <row r="45" spans="1:5" x14ac:dyDescent="0.2">
      <c r="A45" s="29"/>
      <c r="B45" s="35"/>
      <c r="C45" s="25"/>
      <c r="D45" s="30"/>
      <c r="E45" s="30"/>
    </row>
    <row r="46" spans="1:5" x14ac:dyDescent="0.2">
      <c r="A46" s="29"/>
      <c r="B46" s="35"/>
      <c r="C46" s="25"/>
      <c r="D46" s="30"/>
      <c r="E46" s="30"/>
    </row>
    <row r="47" spans="1:5" x14ac:dyDescent="0.2">
      <c r="A47" s="29"/>
      <c r="B47" s="35"/>
      <c r="C47" s="25"/>
      <c r="D47" s="30"/>
      <c r="E47" s="30"/>
    </row>
    <row r="48" spans="1:5" x14ac:dyDescent="0.2">
      <c r="A48" s="29"/>
      <c r="B48" s="35"/>
      <c r="C48" s="25"/>
      <c r="D48" s="30"/>
      <c r="E48" s="30"/>
    </row>
    <row r="49" spans="1:5" x14ac:dyDescent="0.2">
      <c r="A49" s="29"/>
      <c r="B49" s="35"/>
      <c r="C49" s="25"/>
      <c r="D49" s="30"/>
      <c r="E49" s="30"/>
    </row>
    <row r="50" spans="1:5" x14ac:dyDescent="0.2">
      <c r="A50" s="29"/>
      <c r="B50" s="35"/>
      <c r="C50" s="25"/>
      <c r="D50" s="30"/>
      <c r="E50" s="30"/>
    </row>
    <row r="51" spans="1:5" x14ac:dyDescent="0.2">
      <c r="A51" s="29"/>
      <c r="B51" s="35"/>
      <c r="C51" s="25"/>
      <c r="D51" s="30"/>
      <c r="E51" s="30"/>
    </row>
    <row r="52" spans="1:5" x14ac:dyDescent="0.2">
      <c r="A52" s="29"/>
      <c r="B52" s="35"/>
      <c r="C52" s="25"/>
      <c r="D52" s="30"/>
      <c r="E52" s="30"/>
    </row>
    <row r="53" spans="1:5" x14ac:dyDescent="0.2">
      <c r="A53" s="29"/>
      <c r="B53" s="35"/>
      <c r="C53" s="25"/>
      <c r="D53" s="30"/>
      <c r="E53" s="30"/>
    </row>
    <row r="54" spans="1:5" x14ac:dyDescent="0.2">
      <c r="A54" s="29"/>
      <c r="B54" s="35"/>
      <c r="C54" s="25"/>
      <c r="D54" s="30"/>
      <c r="E54" s="30"/>
    </row>
    <row r="55" spans="1:5" x14ac:dyDescent="0.2">
      <c r="A55" s="29"/>
      <c r="B55" s="35"/>
      <c r="C55" s="25"/>
      <c r="D55" s="30"/>
      <c r="E55" s="30"/>
    </row>
    <row r="56" spans="1:5" x14ac:dyDescent="0.2">
      <c r="A56" s="29"/>
      <c r="B56" s="35"/>
      <c r="C56" s="25"/>
      <c r="D56" s="30"/>
      <c r="E56" s="30"/>
    </row>
    <row r="57" spans="1:5" x14ac:dyDescent="0.2">
      <c r="A57" s="29"/>
      <c r="B57" s="35"/>
      <c r="C57" s="25"/>
      <c r="D57" s="30"/>
      <c r="E57" s="30"/>
    </row>
    <row r="58" spans="1:5" x14ac:dyDescent="0.2">
      <c r="A58" s="29"/>
      <c r="B58" s="35"/>
      <c r="C58" s="25"/>
      <c r="D58" s="30"/>
      <c r="E58" s="30"/>
    </row>
    <row r="59" spans="1:5" x14ac:dyDescent="0.2">
      <c r="A59" s="29"/>
      <c r="B59" s="35"/>
      <c r="C59" s="25"/>
      <c r="D59" s="30"/>
      <c r="E59" s="30"/>
    </row>
    <row r="60" spans="1:5" x14ac:dyDescent="0.2">
      <c r="A60" s="29"/>
      <c r="B60" s="35"/>
      <c r="C60" s="25"/>
      <c r="D60" s="30"/>
      <c r="E60" s="30"/>
    </row>
    <row r="61" spans="1:5" x14ac:dyDescent="0.2">
      <c r="A61" s="29"/>
      <c r="B61" s="35"/>
      <c r="C61" s="25"/>
      <c r="D61" s="30"/>
      <c r="E61" s="30"/>
    </row>
    <row r="62" spans="1:5" x14ac:dyDescent="0.2">
      <c r="A62" s="29"/>
      <c r="B62" s="35"/>
      <c r="C62" s="25"/>
      <c r="D62" s="30"/>
      <c r="E62" s="30"/>
    </row>
    <row r="63" spans="1:5" x14ac:dyDescent="0.2">
      <c r="A63" s="29"/>
      <c r="B63" s="35"/>
      <c r="C63" s="25"/>
      <c r="D63" s="30"/>
      <c r="E63" s="30"/>
    </row>
    <row r="64" spans="1:5" x14ac:dyDescent="0.2">
      <c r="A64" s="29"/>
      <c r="B64" s="35"/>
      <c r="C64" s="25"/>
      <c r="D64" s="30"/>
      <c r="E64" s="30"/>
    </row>
    <row r="65" spans="1:5" x14ac:dyDescent="0.2">
      <c r="A65" s="29"/>
      <c r="B65" s="35"/>
      <c r="C65" s="25"/>
      <c r="D65" s="30"/>
      <c r="E65" s="30"/>
    </row>
    <row r="66" spans="1:5" x14ac:dyDescent="0.2">
      <c r="A66" s="29"/>
      <c r="B66" s="35"/>
      <c r="C66" s="25"/>
      <c r="D66" s="30"/>
      <c r="E66" s="30"/>
    </row>
    <row r="67" spans="1:5" x14ac:dyDescent="0.2">
      <c r="A67" s="29"/>
      <c r="B67" s="35"/>
      <c r="C67" s="25"/>
      <c r="D67" s="30"/>
      <c r="E67" s="30"/>
    </row>
    <row r="68" spans="1:5" x14ac:dyDescent="0.2">
      <c r="A68" s="29"/>
      <c r="B68" s="35"/>
      <c r="C68" s="25"/>
      <c r="D68" s="30"/>
      <c r="E68" s="30"/>
    </row>
    <row r="69" spans="1:5" x14ac:dyDescent="0.2">
      <c r="A69" s="29"/>
      <c r="B69" s="35"/>
      <c r="C69" s="25"/>
      <c r="D69" s="30"/>
      <c r="E69" s="30"/>
    </row>
    <row r="70" spans="1:5" x14ac:dyDescent="0.2">
      <c r="A70" s="29"/>
      <c r="B70" s="35"/>
      <c r="C70" s="25"/>
      <c r="D70" s="30"/>
      <c r="E70" s="30"/>
    </row>
    <row r="71" spans="1:5" x14ac:dyDescent="0.2">
      <c r="A71" s="29"/>
      <c r="B71" s="35"/>
      <c r="C71" s="25"/>
      <c r="D71" s="30"/>
      <c r="E71" s="30"/>
    </row>
    <row r="72" spans="1:5" x14ac:dyDescent="0.2">
      <c r="A72" s="29"/>
      <c r="B72" s="35"/>
      <c r="C72" s="25"/>
      <c r="D72" s="30"/>
      <c r="E72" s="30"/>
    </row>
    <row r="73" spans="1:5" x14ac:dyDescent="0.2">
      <c r="A73" s="29"/>
      <c r="B73" s="35"/>
      <c r="C73" s="25"/>
      <c r="D73" s="30"/>
      <c r="E73" s="30"/>
    </row>
    <row r="74" spans="1:5" x14ac:dyDescent="0.2">
      <c r="A74" s="29"/>
      <c r="B74" s="35"/>
      <c r="C74" s="25"/>
      <c r="D74" s="30"/>
      <c r="E74" s="30"/>
    </row>
    <row r="75" spans="1:5" x14ac:dyDescent="0.2">
      <c r="A75" s="29"/>
      <c r="B75" s="35"/>
      <c r="C75" s="25"/>
      <c r="D75" s="30"/>
      <c r="E75" s="30"/>
    </row>
    <row r="76" spans="1:5" x14ac:dyDescent="0.2">
      <c r="A76" s="29"/>
      <c r="B76" s="35"/>
      <c r="C76" s="25"/>
      <c r="D76" s="30"/>
      <c r="E76" s="30"/>
    </row>
    <row r="77" spans="1:5" x14ac:dyDescent="0.2">
      <c r="A77" s="29"/>
      <c r="B77" s="35"/>
      <c r="C77" s="25"/>
      <c r="D77" s="30"/>
      <c r="E77" s="30"/>
    </row>
    <row r="78" spans="1:5" x14ac:dyDescent="0.2">
      <c r="A78" s="29"/>
      <c r="B78" s="35"/>
      <c r="C78" s="25"/>
      <c r="D78" s="30"/>
      <c r="E78" s="30"/>
    </row>
    <row r="79" spans="1:5" x14ac:dyDescent="0.2">
      <c r="A79" s="29"/>
      <c r="B79" s="35"/>
      <c r="C79" s="25"/>
      <c r="D79" s="30"/>
      <c r="E79" s="30"/>
    </row>
    <row r="80" spans="1:5" x14ac:dyDescent="0.2">
      <c r="A80" s="29"/>
      <c r="B80" s="35"/>
      <c r="C80" s="25"/>
      <c r="D80" s="30"/>
      <c r="E80" s="30"/>
    </row>
    <row r="81" spans="1:5" x14ac:dyDescent="0.2">
      <c r="A81" s="29"/>
      <c r="B81" s="35"/>
      <c r="C81" s="25"/>
      <c r="D81" s="30"/>
      <c r="E81" s="30"/>
    </row>
    <row r="82" spans="1:5" x14ac:dyDescent="0.2">
      <c r="A82" s="29"/>
      <c r="B82" s="35"/>
      <c r="C82" s="25"/>
      <c r="D82" s="30"/>
      <c r="E82" s="30"/>
    </row>
    <row r="83" spans="1:5" x14ac:dyDescent="0.2">
      <c r="A83" s="29"/>
      <c r="B83" s="35"/>
      <c r="C83" s="25"/>
      <c r="D83" s="30"/>
      <c r="E83" s="30"/>
    </row>
    <row r="84" spans="1:5" x14ac:dyDescent="0.2">
      <c r="A84" s="29"/>
      <c r="B84" s="35"/>
      <c r="C84" s="25"/>
      <c r="D84" s="30"/>
      <c r="E84" s="30"/>
    </row>
    <row r="85" spans="1:5" x14ac:dyDescent="0.2">
      <c r="A85" s="29"/>
      <c r="B85" s="35"/>
      <c r="C85" s="25"/>
      <c r="D85" s="30"/>
      <c r="E85" s="30"/>
    </row>
    <row r="86" spans="1:5" x14ac:dyDescent="0.2">
      <c r="A86" s="29"/>
      <c r="B86" s="35"/>
      <c r="C86" s="25"/>
      <c r="D86" s="30"/>
      <c r="E86" s="30"/>
    </row>
    <row r="87" spans="1:5" x14ac:dyDescent="0.2">
      <c r="A87" s="29"/>
      <c r="B87" s="35"/>
      <c r="C87" s="25"/>
      <c r="D87" s="30"/>
      <c r="E87" s="30"/>
    </row>
    <row r="88" spans="1:5" x14ac:dyDescent="0.2">
      <c r="A88" s="29"/>
      <c r="B88" s="35"/>
      <c r="C88" s="25"/>
      <c r="D88" s="30"/>
      <c r="E88" s="30"/>
    </row>
    <row r="89" spans="1:5" x14ac:dyDescent="0.2">
      <c r="A89" s="29"/>
      <c r="B89" s="35"/>
      <c r="C89" s="25"/>
      <c r="D89" s="30"/>
      <c r="E89" s="30"/>
    </row>
    <row r="90" spans="1:5" x14ac:dyDescent="0.2">
      <c r="A90" s="29"/>
      <c r="B90" s="35"/>
      <c r="C90" s="25"/>
      <c r="D90" s="30"/>
      <c r="E90" s="30"/>
    </row>
    <row r="91" spans="1:5" x14ac:dyDescent="0.2">
      <c r="A91" s="29"/>
      <c r="B91" s="35"/>
      <c r="C91" s="25"/>
      <c r="D91" s="30"/>
      <c r="E91" s="30"/>
    </row>
    <row r="92" spans="1:5" x14ac:dyDescent="0.2">
      <c r="A92" s="29"/>
      <c r="B92" s="35"/>
      <c r="C92" s="25"/>
      <c r="D92" s="30"/>
      <c r="E92" s="30"/>
    </row>
    <row r="93" spans="1:5" x14ac:dyDescent="0.2">
      <c r="A93" s="29"/>
      <c r="B93" s="35"/>
      <c r="C93" s="25"/>
      <c r="D93" s="30"/>
      <c r="E93" s="30"/>
    </row>
    <row r="94" spans="1:5" x14ac:dyDescent="0.2">
      <c r="A94" s="29"/>
      <c r="B94" s="35"/>
      <c r="C94" s="25"/>
      <c r="D94" s="30"/>
      <c r="E94" s="30"/>
    </row>
    <row r="95" spans="1:5" x14ac:dyDescent="0.2">
      <c r="A95" s="29"/>
      <c r="B95" s="35"/>
      <c r="C95" s="25"/>
      <c r="D95" s="30"/>
      <c r="E95" s="30"/>
    </row>
    <row r="96" spans="1:5" x14ac:dyDescent="0.2">
      <c r="A96" s="29"/>
      <c r="B96" s="35"/>
      <c r="C96" s="25"/>
      <c r="D96" s="30"/>
      <c r="E96" s="30"/>
    </row>
    <row r="97" spans="1:5" x14ac:dyDescent="0.2">
      <c r="A97" s="29"/>
      <c r="B97" s="35"/>
      <c r="C97" s="25"/>
      <c r="D97" s="30"/>
      <c r="E97" s="30"/>
    </row>
    <row r="98" spans="1:5" x14ac:dyDescent="0.2">
      <c r="A98" s="29"/>
      <c r="B98" s="35"/>
      <c r="C98" s="25"/>
      <c r="D98" s="30"/>
      <c r="E98" s="30"/>
    </row>
    <row r="99" spans="1:5" x14ac:dyDescent="0.2">
      <c r="A99" s="29"/>
      <c r="B99" s="35"/>
      <c r="C99" s="25"/>
      <c r="D99" s="30"/>
      <c r="E99" s="30"/>
    </row>
    <row r="100" spans="1:5" x14ac:dyDescent="0.2">
      <c r="A100" s="29"/>
      <c r="B100" s="35"/>
      <c r="C100" s="25"/>
      <c r="D100" s="30"/>
      <c r="E100" s="30"/>
    </row>
    <row r="101" spans="1:5" x14ac:dyDescent="0.2">
      <c r="A101" s="29"/>
      <c r="B101" s="35"/>
      <c r="C101" s="25"/>
      <c r="D101" s="30"/>
      <c r="E101" s="30"/>
    </row>
    <row r="102" spans="1:5" x14ac:dyDescent="0.2">
      <c r="A102" s="29"/>
      <c r="B102" s="35"/>
      <c r="C102" s="25"/>
      <c r="D102" s="30"/>
      <c r="E102" s="30"/>
    </row>
    <row r="103" spans="1:5" x14ac:dyDescent="0.2">
      <c r="A103" s="29"/>
      <c r="B103" s="35"/>
      <c r="C103" s="25"/>
      <c r="D103" s="30"/>
      <c r="E103" s="30"/>
    </row>
    <row r="104" spans="1:5" x14ac:dyDescent="0.2">
      <c r="A104" s="29"/>
      <c r="B104" s="35"/>
      <c r="C104" s="25"/>
      <c r="D104" s="30"/>
      <c r="E104" s="30"/>
    </row>
    <row r="105" spans="1:5" x14ac:dyDescent="0.2">
      <c r="A105" s="29"/>
      <c r="B105" s="35"/>
      <c r="C105" s="25"/>
      <c r="D105" s="30"/>
      <c r="E105" s="30"/>
    </row>
    <row r="106" spans="1:5" x14ac:dyDescent="0.2">
      <c r="A106" s="29"/>
      <c r="B106" s="35"/>
      <c r="C106" s="25"/>
      <c r="D106" s="30"/>
      <c r="E106" s="30"/>
    </row>
    <row r="107" spans="1:5" x14ac:dyDescent="0.2">
      <c r="A107" s="29"/>
      <c r="B107" s="35"/>
      <c r="C107" s="25"/>
      <c r="D107" s="30"/>
      <c r="E107" s="30"/>
    </row>
    <row r="108" spans="1:5" x14ac:dyDescent="0.2">
      <c r="A108" s="29"/>
      <c r="B108" s="35"/>
      <c r="C108" s="25"/>
      <c r="D108" s="30"/>
      <c r="E108" s="30"/>
    </row>
    <row r="109" spans="1:5" x14ac:dyDescent="0.2">
      <c r="A109" s="29"/>
      <c r="B109" s="35"/>
      <c r="C109" s="25"/>
      <c r="D109" s="30"/>
      <c r="E109" s="30"/>
    </row>
    <row r="110" spans="1:5" x14ac:dyDescent="0.2">
      <c r="A110" s="29"/>
      <c r="B110" s="35"/>
      <c r="C110" s="25"/>
      <c r="D110" s="30"/>
      <c r="E110" s="30"/>
    </row>
    <row r="111" spans="1:5" x14ac:dyDescent="0.2">
      <c r="A111" s="29"/>
      <c r="B111" s="35"/>
      <c r="C111" s="25"/>
      <c r="D111" s="30"/>
      <c r="E111" s="30"/>
    </row>
    <row r="112" spans="1:5" x14ac:dyDescent="0.2">
      <c r="A112" s="29"/>
      <c r="B112" s="35"/>
      <c r="C112" s="25"/>
      <c r="D112" s="30"/>
      <c r="E112" s="30"/>
    </row>
    <row r="113" spans="1:5" x14ac:dyDescent="0.2">
      <c r="A113" s="29"/>
      <c r="B113" s="35"/>
      <c r="C113" s="25"/>
      <c r="D113" s="30"/>
      <c r="E113" s="30"/>
    </row>
    <row r="114" spans="1:5" x14ac:dyDescent="0.2">
      <c r="A114" s="29"/>
      <c r="B114" s="35"/>
      <c r="C114" s="25"/>
      <c r="D114" s="30"/>
      <c r="E114" s="30"/>
    </row>
    <row r="115" spans="1:5" x14ac:dyDescent="0.2">
      <c r="A115" s="29"/>
      <c r="B115" s="35"/>
      <c r="C115" s="25"/>
      <c r="D115" s="30"/>
      <c r="E115" s="30"/>
    </row>
    <row r="116" spans="1:5" x14ac:dyDescent="0.2">
      <c r="A116" s="29"/>
      <c r="B116" s="35"/>
      <c r="C116" s="25"/>
      <c r="D116" s="30"/>
      <c r="E116" s="30"/>
    </row>
    <row r="117" spans="1:5" x14ac:dyDescent="0.2">
      <c r="A117" s="29"/>
      <c r="B117" s="35"/>
      <c r="C117" s="25"/>
      <c r="D117" s="30"/>
      <c r="E117" s="30"/>
    </row>
    <row r="118" spans="1:5" x14ac:dyDescent="0.2">
      <c r="A118" s="29"/>
      <c r="B118" s="35"/>
      <c r="C118" s="25"/>
      <c r="D118" s="30"/>
      <c r="E118" s="30"/>
    </row>
    <row r="119" spans="1:5" x14ac:dyDescent="0.2">
      <c r="A119" s="29"/>
      <c r="B119" s="35"/>
      <c r="C119" s="25"/>
      <c r="D119" s="30"/>
      <c r="E119" s="30"/>
    </row>
    <row r="120" spans="1:5" x14ac:dyDescent="0.2">
      <c r="A120" s="29"/>
      <c r="B120" s="35"/>
      <c r="C120" s="25"/>
      <c r="D120" s="30"/>
      <c r="E120" s="30"/>
    </row>
    <row r="121" spans="1:5" x14ac:dyDescent="0.2">
      <c r="A121" s="29"/>
      <c r="B121" s="35"/>
      <c r="C121" s="25"/>
      <c r="D121" s="30"/>
      <c r="E121" s="30"/>
    </row>
    <row r="122" spans="1:5" x14ac:dyDescent="0.2">
      <c r="A122" s="29"/>
      <c r="B122" s="35"/>
      <c r="C122" s="25"/>
      <c r="D122" s="30"/>
      <c r="E122" s="30"/>
    </row>
    <row r="123" spans="1:5" x14ac:dyDescent="0.2">
      <c r="A123" s="29"/>
      <c r="B123" s="35"/>
      <c r="C123" s="25"/>
      <c r="D123" s="30"/>
      <c r="E123" s="30"/>
    </row>
    <row r="124" spans="1:5" x14ac:dyDescent="0.2">
      <c r="A124" s="29"/>
      <c r="B124" s="35"/>
      <c r="C124" s="25"/>
      <c r="D124" s="30"/>
      <c r="E124" s="30"/>
    </row>
    <row r="125" spans="1:5" x14ac:dyDescent="0.2">
      <c r="A125" s="29"/>
      <c r="B125" s="35"/>
      <c r="C125" s="25"/>
      <c r="D125" s="30"/>
      <c r="E125" s="30"/>
    </row>
    <row r="126" spans="1:5" x14ac:dyDescent="0.2">
      <c r="A126" s="29"/>
      <c r="B126" s="35"/>
      <c r="C126" s="25"/>
      <c r="D126" s="30"/>
      <c r="E126" s="30"/>
    </row>
    <row r="127" spans="1:5" x14ac:dyDescent="0.2">
      <c r="A127" s="29"/>
      <c r="B127" s="35"/>
      <c r="C127" s="25"/>
      <c r="D127" s="30"/>
      <c r="E127" s="30"/>
    </row>
    <row r="128" spans="1:5" x14ac:dyDescent="0.2">
      <c r="A128" s="29"/>
      <c r="B128" s="35"/>
      <c r="C128" s="25"/>
      <c r="D128" s="30"/>
      <c r="E128" s="30"/>
    </row>
    <row r="129" spans="1:5" x14ac:dyDescent="0.2">
      <c r="A129" s="29"/>
      <c r="B129" s="35"/>
      <c r="C129" s="25"/>
      <c r="D129" s="30"/>
      <c r="E129" s="30"/>
    </row>
    <row r="130" spans="1:5" x14ac:dyDescent="0.2">
      <c r="A130" s="29"/>
      <c r="B130" s="35"/>
      <c r="C130" s="25"/>
      <c r="D130" s="30"/>
      <c r="E130" s="30"/>
    </row>
    <row r="131" spans="1:5" x14ac:dyDescent="0.2">
      <c r="A131" s="29"/>
      <c r="B131" s="35"/>
      <c r="C131" s="25"/>
      <c r="D131" s="30"/>
      <c r="E131" s="30"/>
    </row>
    <row r="132" spans="1:5" x14ac:dyDescent="0.2">
      <c r="A132" s="29"/>
      <c r="B132" s="35"/>
      <c r="C132" s="25"/>
      <c r="D132" s="30"/>
      <c r="E132" s="30"/>
    </row>
    <row r="133" spans="1:5" x14ac:dyDescent="0.2">
      <c r="A133" s="29"/>
      <c r="B133" s="35"/>
      <c r="C133" s="25"/>
      <c r="D133" s="30"/>
      <c r="E133" s="30"/>
    </row>
    <row r="134" spans="1:5" x14ac:dyDescent="0.2">
      <c r="A134" s="29"/>
      <c r="B134" s="35"/>
      <c r="C134" s="25"/>
      <c r="D134" s="30"/>
      <c r="E134" s="30"/>
    </row>
    <row r="135" spans="1:5" x14ac:dyDescent="0.2">
      <c r="A135" s="29"/>
      <c r="B135" s="35"/>
      <c r="C135" s="25"/>
      <c r="D135" s="30"/>
      <c r="E135" s="30"/>
    </row>
    <row r="136" spans="1:5" x14ac:dyDescent="0.2">
      <c r="A136" s="29"/>
      <c r="B136" s="35"/>
      <c r="C136" s="25"/>
      <c r="D136" s="30"/>
      <c r="E136" s="30"/>
    </row>
    <row r="137" spans="1:5" x14ac:dyDescent="0.2">
      <c r="A137" s="29"/>
      <c r="B137" s="35"/>
      <c r="C137" s="25"/>
      <c r="D137" s="30"/>
      <c r="E137" s="30"/>
    </row>
    <row r="138" spans="1:5" x14ac:dyDescent="0.2">
      <c r="A138" s="29"/>
      <c r="B138" s="35"/>
      <c r="C138" s="25"/>
      <c r="D138" s="30"/>
      <c r="E138" s="30"/>
    </row>
    <row r="139" spans="1:5" x14ac:dyDescent="0.2">
      <c r="A139" s="29"/>
      <c r="B139" s="35"/>
      <c r="C139" s="25"/>
      <c r="D139" s="30"/>
      <c r="E139" s="30"/>
    </row>
    <row r="140" spans="1:5" x14ac:dyDescent="0.2">
      <c r="A140" s="29"/>
      <c r="B140" s="35"/>
      <c r="C140" s="25"/>
      <c r="D140" s="30"/>
      <c r="E140" s="30"/>
    </row>
    <row r="141" spans="1:5" x14ac:dyDescent="0.2">
      <c r="A141" s="29"/>
      <c r="B141" s="35"/>
      <c r="C141" s="25"/>
      <c r="D141" s="30"/>
      <c r="E141" s="30"/>
    </row>
    <row r="142" spans="1:5" x14ac:dyDescent="0.2">
      <c r="A142" s="29"/>
      <c r="B142" s="35"/>
      <c r="C142" s="25"/>
      <c r="D142" s="30"/>
      <c r="E142" s="30"/>
    </row>
    <row r="143" spans="1:5" x14ac:dyDescent="0.2">
      <c r="A143" s="29"/>
      <c r="B143" s="35"/>
      <c r="C143" s="25"/>
      <c r="D143" s="30"/>
      <c r="E143" s="30"/>
    </row>
    <row r="144" spans="1:5" x14ac:dyDescent="0.2">
      <c r="A144" s="29"/>
      <c r="B144" s="35"/>
      <c r="C144" s="25"/>
      <c r="D144" s="30"/>
      <c r="E144" s="30"/>
    </row>
    <row r="145" spans="1:5" x14ac:dyDescent="0.2">
      <c r="A145" s="29"/>
      <c r="B145" s="35"/>
      <c r="C145" s="25"/>
      <c r="D145" s="30"/>
      <c r="E145" s="30"/>
    </row>
    <row r="146" spans="1:5" x14ac:dyDescent="0.2">
      <c r="A146" s="29"/>
      <c r="B146" s="35"/>
      <c r="C146" s="25"/>
      <c r="D146" s="30"/>
      <c r="E146" s="30"/>
    </row>
    <row r="147" spans="1:5" x14ac:dyDescent="0.2">
      <c r="A147" s="29"/>
      <c r="B147" s="35"/>
      <c r="C147" s="25"/>
      <c r="D147" s="30"/>
      <c r="E147" s="30"/>
    </row>
    <row r="148" spans="1:5" x14ac:dyDescent="0.2">
      <c r="A148" s="29"/>
      <c r="B148" s="35"/>
      <c r="C148" s="25"/>
      <c r="D148" s="30"/>
      <c r="E148" s="30"/>
    </row>
    <row r="149" spans="1:5" x14ac:dyDescent="0.2">
      <c r="A149" s="29"/>
      <c r="B149" s="35"/>
      <c r="C149" s="25"/>
      <c r="D149" s="30"/>
      <c r="E149" s="30"/>
    </row>
    <row r="150" spans="1:5" x14ac:dyDescent="0.2">
      <c r="A150" s="29"/>
      <c r="B150" s="35"/>
      <c r="C150" s="25"/>
      <c r="D150" s="30"/>
      <c r="E150" s="30"/>
    </row>
    <row r="151" spans="1:5" x14ac:dyDescent="0.2">
      <c r="A151" s="29"/>
      <c r="B151" s="35"/>
      <c r="C151" s="25"/>
      <c r="D151" s="30"/>
      <c r="E151" s="30"/>
    </row>
    <row r="152" spans="1:5" x14ac:dyDescent="0.2">
      <c r="A152" s="29"/>
      <c r="B152" s="35"/>
      <c r="C152" s="25"/>
      <c r="D152" s="30"/>
      <c r="E152" s="30"/>
    </row>
    <row r="153" spans="1:5" x14ac:dyDescent="0.2">
      <c r="A153" s="29"/>
      <c r="B153" s="35"/>
      <c r="C153" s="25"/>
      <c r="D153" s="30"/>
      <c r="E153" s="30"/>
    </row>
    <row r="154" spans="1:5" x14ac:dyDescent="0.2">
      <c r="A154" s="29"/>
      <c r="B154" s="35"/>
      <c r="C154" s="25"/>
      <c r="D154" s="30"/>
      <c r="E154" s="30"/>
    </row>
    <row r="155" spans="1:5" x14ac:dyDescent="0.2">
      <c r="A155" s="29"/>
      <c r="B155" s="35"/>
      <c r="C155" s="25"/>
      <c r="D155" s="30"/>
      <c r="E155" s="30"/>
    </row>
    <row r="156" spans="1:5" x14ac:dyDescent="0.2">
      <c r="A156" s="29"/>
      <c r="B156" s="35"/>
      <c r="C156" s="25"/>
      <c r="D156" s="30"/>
      <c r="E156" s="30"/>
    </row>
    <row r="157" spans="1:5" x14ac:dyDescent="0.2">
      <c r="A157" s="29"/>
      <c r="B157" s="35"/>
      <c r="C157" s="25"/>
      <c r="D157" s="30"/>
      <c r="E157" s="30"/>
    </row>
    <row r="158" spans="1:5" x14ac:dyDescent="0.2">
      <c r="A158" s="29"/>
      <c r="B158" s="35"/>
      <c r="C158" s="25"/>
      <c r="D158" s="30"/>
      <c r="E158" s="30"/>
    </row>
    <row r="159" spans="1:5" x14ac:dyDescent="0.2">
      <c r="A159" s="29"/>
      <c r="B159" s="35"/>
      <c r="C159" s="25"/>
      <c r="D159" s="30"/>
      <c r="E159" s="30"/>
    </row>
    <row r="160" spans="1:5" x14ac:dyDescent="0.2">
      <c r="A160" s="29"/>
      <c r="B160" s="35"/>
      <c r="C160" s="25"/>
      <c r="D160" s="30"/>
      <c r="E160" s="30"/>
    </row>
    <row r="161" spans="1:5" x14ac:dyDescent="0.2">
      <c r="A161" s="29"/>
      <c r="B161" s="35"/>
      <c r="C161" s="25"/>
      <c r="D161" s="30"/>
      <c r="E161" s="30"/>
    </row>
    <row r="162" spans="1:5" x14ac:dyDescent="0.2">
      <c r="A162" s="29"/>
      <c r="B162" s="35"/>
      <c r="C162" s="25"/>
      <c r="D162" s="30"/>
      <c r="E162" s="30"/>
    </row>
    <row r="163" spans="1:5" x14ac:dyDescent="0.2">
      <c r="A163" s="29"/>
      <c r="B163" s="35"/>
      <c r="C163" s="25"/>
      <c r="D163" s="30"/>
      <c r="E163" s="30"/>
    </row>
    <row r="164" spans="1:5" x14ac:dyDescent="0.2">
      <c r="A164" s="29"/>
      <c r="B164" s="35"/>
      <c r="C164" s="25"/>
      <c r="D164" s="30"/>
      <c r="E164" s="30"/>
    </row>
    <row r="165" spans="1:5" x14ac:dyDescent="0.2">
      <c r="A165" s="29"/>
      <c r="B165" s="35"/>
      <c r="C165" s="25"/>
      <c r="D165" s="30"/>
      <c r="E165" s="30"/>
    </row>
    <row r="166" spans="1:5" x14ac:dyDescent="0.2">
      <c r="A166" s="29"/>
      <c r="B166" s="35"/>
      <c r="C166" s="25"/>
      <c r="D166" s="30"/>
      <c r="E166" s="30"/>
    </row>
    <row r="167" spans="1:5" x14ac:dyDescent="0.2">
      <c r="A167" s="29"/>
      <c r="B167" s="35"/>
      <c r="C167" s="25"/>
      <c r="D167" s="30"/>
      <c r="E167" s="30"/>
    </row>
    <row r="168" spans="1:5" x14ac:dyDescent="0.2">
      <c r="A168" s="29"/>
      <c r="B168" s="35"/>
      <c r="C168" s="25"/>
      <c r="D168" s="30"/>
      <c r="E168" s="30"/>
    </row>
    <row r="169" spans="1:5" x14ac:dyDescent="0.2">
      <c r="A169" s="29"/>
      <c r="B169" s="35"/>
      <c r="C169" s="25"/>
      <c r="D169" s="30"/>
      <c r="E169" s="30"/>
    </row>
    <row r="170" spans="1:5" x14ac:dyDescent="0.2">
      <c r="A170" s="29"/>
      <c r="B170" s="35"/>
      <c r="C170" s="25"/>
      <c r="D170" s="30"/>
      <c r="E170" s="30"/>
    </row>
    <row r="171" spans="1:5" x14ac:dyDescent="0.2">
      <c r="A171" s="29"/>
      <c r="B171" s="35"/>
      <c r="C171" s="25"/>
      <c r="D171" s="30"/>
      <c r="E171" s="30"/>
    </row>
    <row r="172" spans="1:5" x14ac:dyDescent="0.2">
      <c r="A172" s="29"/>
      <c r="B172" s="35"/>
      <c r="C172" s="25"/>
      <c r="D172" s="30"/>
      <c r="E172" s="30"/>
    </row>
    <row r="173" spans="1:5" x14ac:dyDescent="0.2">
      <c r="A173" s="29"/>
      <c r="B173" s="35"/>
      <c r="C173" s="25"/>
      <c r="D173" s="30"/>
      <c r="E173" s="30"/>
    </row>
    <row r="174" spans="1:5" x14ac:dyDescent="0.2">
      <c r="A174" s="29"/>
      <c r="B174" s="35"/>
      <c r="C174" s="25"/>
      <c r="D174" s="30"/>
      <c r="E174" s="30"/>
    </row>
    <row r="175" spans="1:5" x14ac:dyDescent="0.2">
      <c r="A175" s="29"/>
      <c r="B175" s="35"/>
      <c r="C175" s="25"/>
      <c r="D175" s="30"/>
      <c r="E175" s="30"/>
    </row>
    <row r="176" spans="1:5" x14ac:dyDescent="0.2">
      <c r="A176" s="29"/>
      <c r="B176" s="35"/>
      <c r="C176" s="25"/>
      <c r="D176" s="30"/>
      <c r="E176" s="30"/>
    </row>
    <row r="177" spans="1:5" x14ac:dyDescent="0.2">
      <c r="A177" s="29"/>
      <c r="B177" s="35"/>
      <c r="C177" s="25"/>
      <c r="D177" s="30"/>
      <c r="E177" s="30"/>
    </row>
    <row r="178" spans="1:5" x14ac:dyDescent="0.2">
      <c r="A178" s="29"/>
      <c r="B178" s="35"/>
      <c r="C178" s="25"/>
      <c r="D178" s="30"/>
      <c r="E178" s="30"/>
    </row>
    <row r="179" spans="1:5" x14ac:dyDescent="0.2">
      <c r="A179" s="29"/>
      <c r="B179" s="35"/>
      <c r="C179" s="25"/>
      <c r="D179" s="30"/>
      <c r="E179" s="30"/>
    </row>
    <row r="180" spans="1:5" x14ac:dyDescent="0.2">
      <c r="A180" s="29"/>
      <c r="B180" s="35"/>
      <c r="C180" s="25"/>
      <c r="D180" s="30"/>
      <c r="E180" s="30"/>
    </row>
    <row r="181" spans="1:5" x14ac:dyDescent="0.2">
      <c r="A181" s="29"/>
      <c r="B181" s="35"/>
      <c r="C181" s="25"/>
      <c r="D181" s="30"/>
      <c r="E181" s="30"/>
    </row>
    <row r="182" spans="1:5" x14ac:dyDescent="0.2">
      <c r="A182" s="29"/>
      <c r="B182" s="35"/>
      <c r="C182" s="25"/>
      <c r="D182" s="30"/>
      <c r="E182" s="30"/>
    </row>
    <row r="183" spans="1:5" x14ac:dyDescent="0.2">
      <c r="A183" s="29"/>
      <c r="B183" s="35"/>
      <c r="C183" s="25"/>
      <c r="D183" s="30"/>
      <c r="E183" s="30"/>
    </row>
    <row r="184" spans="1:5" x14ac:dyDescent="0.2">
      <c r="A184" s="29"/>
      <c r="B184" s="35"/>
      <c r="C184" s="25"/>
      <c r="D184" s="30"/>
      <c r="E184" s="30"/>
    </row>
    <row r="185" spans="1:5" x14ac:dyDescent="0.2">
      <c r="A185" s="29"/>
      <c r="B185" s="35"/>
      <c r="C185" s="25"/>
      <c r="D185" s="30"/>
      <c r="E185" s="30"/>
    </row>
    <row r="186" spans="1:5" x14ac:dyDescent="0.2">
      <c r="A186" s="29"/>
      <c r="B186" s="35"/>
      <c r="C186" s="25"/>
      <c r="D186" s="30"/>
      <c r="E186" s="30"/>
    </row>
    <row r="187" spans="1:5" x14ac:dyDescent="0.2">
      <c r="A187" s="29"/>
      <c r="B187" s="35"/>
      <c r="C187" s="25"/>
      <c r="D187" s="30"/>
      <c r="E187" s="30"/>
    </row>
    <row r="188" spans="1:5" x14ac:dyDescent="0.2">
      <c r="A188" s="29"/>
      <c r="B188" s="35"/>
      <c r="C188" s="25"/>
      <c r="D188" s="30"/>
      <c r="E188" s="30"/>
    </row>
    <row r="189" spans="1:5" x14ac:dyDescent="0.2">
      <c r="A189" s="29"/>
      <c r="B189" s="35"/>
      <c r="C189" s="25"/>
      <c r="D189" s="30"/>
      <c r="E189" s="30"/>
    </row>
    <row r="190" spans="1:5" x14ac:dyDescent="0.2">
      <c r="A190" s="29"/>
      <c r="B190" s="35"/>
      <c r="C190" s="25"/>
      <c r="D190" s="30"/>
      <c r="E190" s="30"/>
    </row>
    <row r="191" spans="1:5" x14ac:dyDescent="0.2">
      <c r="A191" s="29"/>
      <c r="B191" s="35"/>
      <c r="C191" s="25"/>
      <c r="D191" s="30"/>
      <c r="E191" s="30"/>
    </row>
    <row r="192" spans="1:5" x14ac:dyDescent="0.2">
      <c r="A192" s="29"/>
      <c r="B192" s="35"/>
      <c r="C192" s="25"/>
      <c r="D192" s="30"/>
      <c r="E192" s="30"/>
    </row>
    <row r="193" spans="1:5" x14ac:dyDescent="0.2">
      <c r="A193" s="29"/>
      <c r="B193" s="35"/>
      <c r="C193" s="25"/>
      <c r="D193" s="30"/>
      <c r="E193" s="30"/>
    </row>
    <row r="194" spans="1:5" x14ac:dyDescent="0.2">
      <c r="A194" s="29"/>
      <c r="B194" s="35"/>
      <c r="C194" s="25"/>
      <c r="D194" s="30"/>
      <c r="E194" s="30"/>
    </row>
    <row r="195" spans="1:5" x14ac:dyDescent="0.2">
      <c r="A195" s="29"/>
      <c r="B195" s="35"/>
      <c r="C195" s="25"/>
      <c r="D195" s="30"/>
      <c r="E195" s="30"/>
    </row>
    <row r="196" spans="1:5" x14ac:dyDescent="0.2">
      <c r="A196" s="29"/>
      <c r="B196" s="35"/>
      <c r="C196" s="25"/>
      <c r="D196" s="30"/>
      <c r="E196" s="30"/>
    </row>
    <row r="197" spans="1:5" x14ac:dyDescent="0.2">
      <c r="A197" s="29"/>
      <c r="B197" s="35"/>
      <c r="C197" s="25"/>
      <c r="D197" s="30"/>
      <c r="E197" s="30"/>
    </row>
    <row r="198" spans="1:5" x14ac:dyDescent="0.2">
      <c r="A198" s="29"/>
      <c r="B198" s="35"/>
      <c r="C198" s="25"/>
      <c r="D198" s="30"/>
      <c r="E198" s="30"/>
    </row>
    <row r="199" spans="1:5" x14ac:dyDescent="0.2">
      <c r="A199" s="29"/>
      <c r="B199" s="35"/>
      <c r="C199" s="25"/>
      <c r="D199" s="30"/>
      <c r="E199" s="30"/>
    </row>
    <row r="200" spans="1:5" x14ac:dyDescent="0.2">
      <c r="A200" s="29"/>
      <c r="B200" s="35"/>
      <c r="C200" s="25"/>
      <c r="D200" s="30"/>
      <c r="E200" s="30"/>
    </row>
    <row r="201" spans="1:5" x14ac:dyDescent="0.2">
      <c r="A201" s="29"/>
      <c r="B201" s="35"/>
      <c r="C201" s="25"/>
      <c r="D201" s="30"/>
      <c r="E201" s="30"/>
    </row>
    <row r="202" spans="1:5" x14ac:dyDescent="0.2">
      <c r="A202" s="29"/>
      <c r="B202" s="35"/>
      <c r="C202" s="25"/>
      <c r="D202" s="30"/>
      <c r="E202" s="30"/>
    </row>
    <row r="203" spans="1:5" x14ac:dyDescent="0.2">
      <c r="A203" s="29"/>
      <c r="B203" s="35"/>
      <c r="C203" s="25"/>
      <c r="D203" s="30"/>
      <c r="E203" s="30"/>
    </row>
    <row r="204" spans="1:5" x14ac:dyDescent="0.2">
      <c r="A204" s="29"/>
      <c r="B204" s="35"/>
      <c r="C204" s="25"/>
      <c r="D204" s="30"/>
      <c r="E204" s="30"/>
    </row>
    <row r="205" spans="1:5" x14ac:dyDescent="0.2">
      <c r="A205" s="29"/>
      <c r="B205" s="35"/>
      <c r="C205" s="25"/>
      <c r="D205" s="30"/>
      <c r="E205" s="30"/>
    </row>
    <row r="206" spans="1:5" x14ac:dyDescent="0.2">
      <c r="A206" s="29"/>
      <c r="B206" s="35"/>
      <c r="C206" s="25"/>
      <c r="D206" s="30"/>
      <c r="E206" s="30"/>
    </row>
    <row r="207" spans="1:5" x14ac:dyDescent="0.2">
      <c r="A207" s="29"/>
      <c r="B207" s="35"/>
      <c r="C207" s="25"/>
      <c r="D207" s="30"/>
      <c r="E207" s="30"/>
    </row>
    <row r="208" spans="1:5" x14ac:dyDescent="0.2">
      <c r="A208" s="29"/>
      <c r="B208" s="35"/>
      <c r="C208" s="25"/>
      <c r="D208" s="30"/>
      <c r="E208" s="30"/>
    </row>
    <row r="209" spans="1:5" x14ac:dyDescent="0.2">
      <c r="A209" s="29"/>
      <c r="B209" s="35"/>
      <c r="C209" s="25"/>
      <c r="D209" s="30"/>
      <c r="E209" s="30"/>
    </row>
    <row r="210" spans="1:5" x14ac:dyDescent="0.2">
      <c r="A210" s="29"/>
      <c r="B210" s="35"/>
      <c r="C210" s="25"/>
      <c r="D210" s="30"/>
      <c r="E210" s="30"/>
    </row>
    <row r="211" spans="1:5" x14ac:dyDescent="0.2">
      <c r="A211" s="29"/>
      <c r="B211" s="35"/>
      <c r="C211" s="25"/>
      <c r="D211" s="30"/>
      <c r="E211" s="30"/>
    </row>
    <row r="212" spans="1:5" x14ac:dyDescent="0.2">
      <c r="A212" s="29"/>
      <c r="B212" s="35"/>
      <c r="C212" s="25"/>
      <c r="D212" s="30"/>
      <c r="E212" s="30"/>
    </row>
    <row r="213" spans="1:5" x14ac:dyDescent="0.2">
      <c r="A213" s="29"/>
      <c r="B213" s="35"/>
      <c r="C213" s="25"/>
      <c r="D213" s="30"/>
      <c r="E213" s="30"/>
    </row>
    <row r="214" spans="1:5" x14ac:dyDescent="0.2">
      <c r="A214" s="29"/>
      <c r="B214" s="35"/>
      <c r="C214" s="25"/>
      <c r="D214" s="30"/>
      <c r="E214" s="30"/>
    </row>
    <row r="215" spans="1:5" x14ac:dyDescent="0.2">
      <c r="A215" s="29"/>
      <c r="B215" s="35"/>
      <c r="C215" s="25"/>
      <c r="D215" s="30"/>
      <c r="E215" s="30"/>
    </row>
    <row r="216" spans="1:5" x14ac:dyDescent="0.2">
      <c r="A216" s="29"/>
      <c r="B216" s="35"/>
      <c r="C216" s="25"/>
      <c r="D216" s="30"/>
      <c r="E216" s="30"/>
    </row>
    <row r="217" spans="1:5" x14ac:dyDescent="0.2">
      <c r="A217" s="29"/>
      <c r="B217" s="35"/>
      <c r="C217" s="25"/>
      <c r="D217" s="30"/>
      <c r="E217" s="30"/>
    </row>
    <row r="218" spans="1:5" x14ac:dyDescent="0.2">
      <c r="A218" s="29"/>
      <c r="B218" s="35"/>
      <c r="C218" s="25"/>
      <c r="D218" s="30"/>
      <c r="E218" s="30"/>
    </row>
    <row r="219" spans="1:5" x14ac:dyDescent="0.2">
      <c r="A219" s="29"/>
      <c r="B219" s="35"/>
      <c r="C219" s="25"/>
      <c r="D219" s="30"/>
      <c r="E219" s="30"/>
    </row>
    <row r="220" spans="1:5" x14ac:dyDescent="0.2">
      <c r="A220" s="29"/>
      <c r="B220" s="35"/>
      <c r="C220" s="25"/>
      <c r="D220" s="30"/>
      <c r="E220" s="30"/>
    </row>
    <row r="221" spans="1:5" x14ac:dyDescent="0.2">
      <c r="A221" s="29"/>
      <c r="B221" s="35"/>
      <c r="C221" s="25"/>
      <c r="D221" s="30"/>
      <c r="E221" s="30"/>
    </row>
    <row r="222" spans="1:5" x14ac:dyDescent="0.2">
      <c r="A222" s="29"/>
      <c r="B222" s="35"/>
      <c r="C222" s="25"/>
      <c r="D222" s="30"/>
      <c r="E222" s="30"/>
    </row>
    <row r="223" spans="1:5" x14ac:dyDescent="0.2">
      <c r="A223" s="29"/>
      <c r="B223" s="35"/>
      <c r="C223" s="25"/>
      <c r="D223" s="30"/>
      <c r="E223" s="30"/>
    </row>
    <row r="224" spans="1:5" x14ac:dyDescent="0.2">
      <c r="A224" s="29"/>
      <c r="B224" s="35"/>
      <c r="C224" s="25"/>
      <c r="D224" s="30"/>
      <c r="E224" s="30"/>
    </row>
    <row r="225" spans="1:5" x14ac:dyDescent="0.2">
      <c r="A225" s="29"/>
      <c r="B225" s="35"/>
      <c r="C225" s="25"/>
      <c r="D225" s="30"/>
      <c r="E225" s="30"/>
    </row>
    <row r="226" spans="1:5" x14ac:dyDescent="0.2">
      <c r="A226" s="29"/>
      <c r="B226" s="35"/>
      <c r="C226" s="25"/>
      <c r="D226" s="30"/>
      <c r="E226" s="30"/>
    </row>
    <row r="227" spans="1:5" x14ac:dyDescent="0.2">
      <c r="A227" s="29"/>
      <c r="B227" s="35"/>
      <c r="C227" s="25"/>
      <c r="D227" s="30"/>
      <c r="E227" s="30"/>
    </row>
    <row r="228" spans="1:5" x14ac:dyDescent="0.2">
      <c r="A228" s="29"/>
      <c r="B228" s="35"/>
      <c r="C228" s="25"/>
      <c r="D228" s="30"/>
      <c r="E228" s="30"/>
    </row>
    <row r="229" spans="1:5" x14ac:dyDescent="0.2">
      <c r="A229" s="29"/>
      <c r="B229" s="35"/>
      <c r="C229" s="25"/>
      <c r="D229" s="30"/>
      <c r="E229" s="30"/>
    </row>
    <row r="230" spans="1:5" x14ac:dyDescent="0.2">
      <c r="A230" s="29"/>
      <c r="B230" s="35"/>
      <c r="C230" s="25"/>
      <c r="D230" s="30"/>
      <c r="E230" s="30"/>
    </row>
    <row r="231" spans="1:5" x14ac:dyDescent="0.2">
      <c r="A231" s="29"/>
      <c r="B231" s="35"/>
      <c r="C231" s="25"/>
      <c r="D231" s="30"/>
      <c r="E231" s="30"/>
    </row>
    <row r="232" spans="1:5" x14ac:dyDescent="0.2">
      <c r="A232" s="29"/>
      <c r="B232" s="35"/>
      <c r="C232" s="25"/>
      <c r="D232" s="30"/>
      <c r="E232" s="30"/>
    </row>
    <row r="233" spans="1:5" x14ac:dyDescent="0.2">
      <c r="A233" s="29"/>
      <c r="B233" s="35"/>
      <c r="C233" s="25"/>
      <c r="D233" s="30"/>
      <c r="E233" s="30"/>
    </row>
    <row r="234" spans="1:5" x14ac:dyDescent="0.2">
      <c r="A234" s="29"/>
      <c r="B234" s="35"/>
      <c r="C234" s="25"/>
      <c r="D234" s="30"/>
      <c r="E234" s="30"/>
    </row>
    <row r="235" spans="1:5" x14ac:dyDescent="0.2">
      <c r="A235" s="29"/>
      <c r="B235" s="35"/>
      <c r="C235" s="25"/>
      <c r="D235" s="30"/>
      <c r="E235" s="30"/>
    </row>
    <row r="236" spans="1:5" x14ac:dyDescent="0.2">
      <c r="A236" s="29"/>
      <c r="B236" s="35"/>
      <c r="C236" s="25"/>
      <c r="D236" s="30"/>
      <c r="E236" s="30"/>
    </row>
    <row r="237" spans="1:5" x14ac:dyDescent="0.2">
      <c r="A237" s="29"/>
      <c r="B237" s="35"/>
      <c r="C237" s="25"/>
      <c r="D237" s="30"/>
      <c r="E237" s="30"/>
    </row>
    <row r="238" spans="1:5" x14ac:dyDescent="0.2">
      <c r="A238" s="29"/>
      <c r="B238" s="35"/>
      <c r="C238" s="25"/>
      <c r="D238" s="30"/>
      <c r="E238" s="30"/>
    </row>
    <row r="239" spans="1:5" x14ac:dyDescent="0.2">
      <c r="A239" s="29"/>
      <c r="B239" s="35"/>
      <c r="C239" s="25"/>
      <c r="D239" s="30"/>
      <c r="E239" s="30"/>
    </row>
    <row r="240" spans="1:5" x14ac:dyDescent="0.2">
      <c r="A240" s="29"/>
      <c r="B240" s="35"/>
      <c r="C240" s="25"/>
      <c r="D240" s="30"/>
      <c r="E240" s="30"/>
    </row>
    <row r="241" spans="1:5" x14ac:dyDescent="0.2">
      <c r="A241" s="29"/>
      <c r="B241" s="35"/>
      <c r="C241" s="25"/>
      <c r="D241" s="30"/>
      <c r="E241" s="30"/>
    </row>
    <row r="242" spans="1:5" x14ac:dyDescent="0.2">
      <c r="A242" s="29"/>
      <c r="B242" s="35"/>
      <c r="C242" s="25"/>
      <c r="D242" s="30"/>
      <c r="E242" s="30"/>
    </row>
    <row r="243" spans="1:5" x14ac:dyDescent="0.2">
      <c r="A243" s="29"/>
      <c r="B243" s="35"/>
      <c r="C243" s="25"/>
      <c r="D243" s="30"/>
      <c r="E243" s="30"/>
    </row>
    <row r="244" spans="1:5" x14ac:dyDescent="0.2">
      <c r="A244" s="29"/>
      <c r="B244" s="35"/>
      <c r="C244" s="25"/>
      <c r="D244" s="30"/>
      <c r="E244" s="30"/>
    </row>
    <row r="245" spans="1:5" x14ac:dyDescent="0.2">
      <c r="A245" s="29"/>
      <c r="B245" s="35"/>
      <c r="C245" s="25"/>
      <c r="D245" s="30"/>
      <c r="E245" s="30"/>
    </row>
    <row r="246" spans="1:5" x14ac:dyDescent="0.2">
      <c r="A246" s="29"/>
      <c r="B246" s="35"/>
      <c r="C246" s="25"/>
      <c r="D246" s="30"/>
      <c r="E246" s="30"/>
    </row>
    <row r="247" spans="1:5" x14ac:dyDescent="0.2">
      <c r="A247" s="29"/>
      <c r="B247" s="35"/>
      <c r="C247" s="25"/>
      <c r="D247" s="30"/>
      <c r="E247" s="30"/>
    </row>
    <row r="248" spans="1:5" x14ac:dyDescent="0.2">
      <c r="A248" s="29"/>
      <c r="B248" s="35"/>
      <c r="C248" s="25"/>
      <c r="D248" s="30"/>
      <c r="E248" s="30"/>
    </row>
    <row r="249" spans="1:5" x14ac:dyDescent="0.2">
      <c r="A249" s="29"/>
      <c r="B249" s="35"/>
      <c r="C249" s="25"/>
      <c r="D249" s="30"/>
      <c r="E249" s="30"/>
    </row>
    <row r="250" spans="1:5" x14ac:dyDescent="0.2">
      <c r="A250" s="29"/>
      <c r="B250" s="35"/>
      <c r="C250" s="25"/>
      <c r="D250" s="30"/>
      <c r="E250" s="30"/>
    </row>
    <row r="251" spans="1:5" x14ac:dyDescent="0.2">
      <c r="A251" s="29"/>
      <c r="B251" s="35"/>
      <c r="C251" s="25"/>
      <c r="D251" s="30"/>
      <c r="E251" s="30"/>
    </row>
    <row r="252" spans="1:5" x14ac:dyDescent="0.2">
      <c r="A252" s="29"/>
      <c r="B252" s="35"/>
      <c r="C252" s="25"/>
      <c r="D252" s="30"/>
      <c r="E252" s="30"/>
    </row>
    <row r="253" spans="1:5" x14ac:dyDescent="0.2">
      <c r="A253" s="29"/>
      <c r="B253" s="35"/>
      <c r="C253" s="25"/>
      <c r="D253" s="30"/>
      <c r="E253" s="30"/>
    </row>
    <row r="254" spans="1:5" x14ac:dyDescent="0.2">
      <c r="A254" s="29"/>
      <c r="B254" s="35"/>
      <c r="C254" s="25"/>
      <c r="D254" s="30"/>
      <c r="E254" s="30"/>
    </row>
    <row r="255" spans="1:5" x14ac:dyDescent="0.2">
      <c r="A255" s="29"/>
      <c r="B255" s="35"/>
      <c r="C255" s="25"/>
      <c r="D255" s="30"/>
      <c r="E255" s="30"/>
    </row>
    <row r="256" spans="1:5" x14ac:dyDescent="0.2">
      <c r="A256" s="29"/>
      <c r="B256" s="35"/>
      <c r="C256" s="25"/>
      <c r="D256" s="30"/>
      <c r="E256" s="30"/>
    </row>
    <row r="257" spans="1:5" x14ac:dyDescent="0.2">
      <c r="A257" s="29"/>
      <c r="B257" s="35"/>
      <c r="C257" s="25"/>
      <c r="D257" s="30"/>
      <c r="E257" s="30"/>
    </row>
    <row r="258" spans="1:5" x14ac:dyDescent="0.2">
      <c r="A258" s="29"/>
      <c r="B258" s="35"/>
      <c r="C258" s="25"/>
      <c r="D258" s="30"/>
      <c r="E258" s="30"/>
    </row>
    <row r="259" spans="1:5" x14ac:dyDescent="0.2">
      <c r="A259" s="29"/>
      <c r="B259" s="35"/>
      <c r="C259" s="25"/>
      <c r="D259" s="30"/>
      <c r="E259" s="30"/>
    </row>
    <row r="260" spans="1:5" x14ac:dyDescent="0.2">
      <c r="A260" s="29"/>
      <c r="B260" s="35"/>
      <c r="C260" s="25"/>
      <c r="D260" s="30"/>
      <c r="E260" s="30"/>
    </row>
    <row r="261" spans="1:5" x14ac:dyDescent="0.2">
      <c r="A261" s="29"/>
      <c r="B261" s="35"/>
      <c r="C261" s="25"/>
      <c r="D261" s="30"/>
      <c r="E261" s="30"/>
    </row>
    <row r="262" spans="1:5" x14ac:dyDescent="0.2">
      <c r="A262" s="29"/>
      <c r="B262" s="35"/>
      <c r="C262" s="25"/>
      <c r="D262" s="30"/>
      <c r="E262" s="30"/>
    </row>
    <row r="263" spans="1:5" x14ac:dyDescent="0.2">
      <c r="A263" s="29"/>
      <c r="B263" s="35"/>
      <c r="C263" s="25"/>
      <c r="D263" s="30"/>
      <c r="E263" s="30"/>
    </row>
    <row r="264" spans="1:5" x14ac:dyDescent="0.2">
      <c r="A264" s="29"/>
      <c r="B264" s="35"/>
      <c r="C264" s="25"/>
      <c r="D264" s="30"/>
      <c r="E264" s="30"/>
    </row>
    <row r="265" spans="1:5" x14ac:dyDescent="0.2">
      <c r="A265" s="29"/>
      <c r="B265" s="35"/>
      <c r="C265" s="25"/>
      <c r="D265" s="30"/>
      <c r="E265" s="30"/>
    </row>
    <row r="266" spans="1:5" x14ac:dyDescent="0.2">
      <c r="A266" s="29"/>
      <c r="B266" s="35"/>
      <c r="C266" s="25"/>
      <c r="D266" s="30"/>
      <c r="E266" s="30"/>
    </row>
    <row r="267" spans="1:5" x14ac:dyDescent="0.2">
      <c r="A267" s="29"/>
      <c r="B267" s="35"/>
      <c r="C267" s="25"/>
      <c r="D267" s="30"/>
      <c r="E267" s="30"/>
    </row>
    <row r="268" spans="1:5" x14ac:dyDescent="0.2">
      <c r="A268" s="29"/>
      <c r="B268" s="35"/>
      <c r="C268" s="25"/>
      <c r="D268" s="30"/>
      <c r="E268" s="30"/>
    </row>
    <row r="269" spans="1:5" x14ac:dyDescent="0.2">
      <c r="A269" s="29"/>
      <c r="B269" s="35"/>
      <c r="C269" s="25"/>
      <c r="D269" s="30"/>
      <c r="E269" s="30"/>
    </row>
    <row r="270" spans="1:5" x14ac:dyDescent="0.2">
      <c r="A270" s="29"/>
      <c r="B270" s="35"/>
      <c r="C270" s="25"/>
      <c r="D270" s="30"/>
      <c r="E270" s="30"/>
    </row>
    <row r="271" spans="1:5" x14ac:dyDescent="0.2">
      <c r="A271" s="29"/>
      <c r="B271" s="35"/>
      <c r="C271" s="25"/>
      <c r="D271" s="30"/>
      <c r="E271" s="30"/>
    </row>
    <row r="272" spans="1:5" x14ac:dyDescent="0.2">
      <c r="A272" s="29"/>
      <c r="B272" s="35"/>
      <c r="C272" s="25"/>
      <c r="D272" s="30"/>
      <c r="E272" s="30"/>
    </row>
    <row r="273" spans="1:5" x14ac:dyDescent="0.2">
      <c r="A273" s="29"/>
      <c r="B273" s="35"/>
      <c r="C273" s="25"/>
      <c r="D273" s="30"/>
      <c r="E273" s="30"/>
    </row>
    <row r="274" spans="1:5" x14ac:dyDescent="0.2">
      <c r="A274" s="29"/>
      <c r="B274" s="35"/>
      <c r="C274" s="25"/>
      <c r="D274" s="30"/>
      <c r="E274" s="30"/>
    </row>
    <row r="275" spans="1:5" x14ac:dyDescent="0.2">
      <c r="A275" s="29"/>
      <c r="B275" s="35"/>
      <c r="C275" s="25"/>
      <c r="D275" s="30"/>
      <c r="E275" s="30"/>
    </row>
    <row r="276" spans="1:5" x14ac:dyDescent="0.2">
      <c r="A276" s="29"/>
      <c r="B276" s="35"/>
      <c r="C276" s="25"/>
      <c r="D276" s="30"/>
      <c r="E276" s="30"/>
    </row>
    <row r="277" spans="1:5" x14ac:dyDescent="0.2">
      <c r="A277" s="29"/>
      <c r="B277" s="35"/>
      <c r="C277" s="25"/>
      <c r="D277" s="30"/>
      <c r="E277" s="30"/>
    </row>
    <row r="278" spans="1:5" x14ac:dyDescent="0.2">
      <c r="A278" s="29"/>
      <c r="B278" s="35"/>
      <c r="C278" s="25"/>
      <c r="D278" s="30"/>
      <c r="E278" s="30"/>
    </row>
    <row r="279" spans="1:5" x14ac:dyDescent="0.2">
      <c r="A279" s="29"/>
      <c r="B279" s="35"/>
      <c r="C279" s="25"/>
      <c r="D279" s="30"/>
      <c r="E279" s="30"/>
    </row>
    <row r="280" spans="1:5" x14ac:dyDescent="0.2">
      <c r="A280" s="29"/>
      <c r="B280" s="35"/>
      <c r="C280" s="25"/>
      <c r="D280" s="30"/>
      <c r="E280" s="30"/>
    </row>
    <row r="281" spans="1:5" x14ac:dyDescent="0.2">
      <c r="A281" s="29"/>
      <c r="B281" s="35"/>
      <c r="C281" s="25"/>
      <c r="D281" s="30"/>
      <c r="E281" s="30"/>
    </row>
    <row r="282" spans="1:5" x14ac:dyDescent="0.2">
      <c r="A282" s="29"/>
      <c r="B282" s="35"/>
      <c r="C282" s="25"/>
      <c r="D282" s="30"/>
      <c r="E282" s="30"/>
    </row>
    <row r="283" spans="1:5" x14ac:dyDescent="0.2">
      <c r="A283" s="29"/>
      <c r="B283" s="35"/>
      <c r="C283" s="25"/>
      <c r="D283" s="30"/>
      <c r="E283" s="30"/>
    </row>
    <row r="284" spans="1:5" x14ac:dyDescent="0.2">
      <c r="A284" s="29"/>
      <c r="B284" s="35"/>
      <c r="C284" s="25"/>
      <c r="D284" s="30"/>
      <c r="E284" s="30"/>
    </row>
    <row r="285" spans="1:5" x14ac:dyDescent="0.2">
      <c r="A285" s="29"/>
      <c r="B285" s="35"/>
      <c r="C285" s="25"/>
      <c r="D285" s="30"/>
      <c r="E285" s="30"/>
    </row>
    <row r="286" spans="1:5" x14ac:dyDescent="0.2">
      <c r="A286" s="29"/>
      <c r="B286" s="35"/>
      <c r="C286" s="25"/>
      <c r="D286" s="30"/>
      <c r="E286" s="30"/>
    </row>
    <row r="287" spans="1:5" x14ac:dyDescent="0.2">
      <c r="A287" s="29"/>
      <c r="B287" s="35"/>
      <c r="C287" s="25"/>
      <c r="D287" s="30"/>
      <c r="E287" s="30"/>
    </row>
    <row r="288" spans="1:5" x14ac:dyDescent="0.2">
      <c r="A288" s="29"/>
      <c r="B288" s="35"/>
      <c r="C288" s="25"/>
      <c r="D288" s="30"/>
      <c r="E288" s="30"/>
    </row>
    <row r="289" spans="1:5" x14ac:dyDescent="0.2">
      <c r="A289" s="29"/>
      <c r="B289" s="35"/>
      <c r="C289" s="25"/>
      <c r="D289" s="30"/>
      <c r="E289" s="30"/>
    </row>
    <row r="290" spans="1:5" x14ac:dyDescent="0.2">
      <c r="A290" s="29"/>
      <c r="B290" s="35"/>
      <c r="C290" s="25"/>
      <c r="D290" s="30"/>
      <c r="E290" s="30"/>
    </row>
    <row r="291" spans="1:5" x14ac:dyDescent="0.2">
      <c r="A291" s="29"/>
      <c r="B291" s="35"/>
      <c r="C291" s="25"/>
      <c r="D291" s="30"/>
      <c r="E291" s="30"/>
    </row>
    <row r="292" spans="1:5" x14ac:dyDescent="0.2">
      <c r="A292" s="29"/>
      <c r="B292" s="35"/>
      <c r="C292" s="25"/>
      <c r="D292" s="30"/>
      <c r="E292" s="30"/>
    </row>
    <row r="293" spans="1:5" x14ac:dyDescent="0.2">
      <c r="A293" s="29"/>
      <c r="B293" s="35"/>
      <c r="C293" s="25"/>
      <c r="D293" s="30"/>
      <c r="E293" s="30"/>
    </row>
    <row r="294" spans="1:5" x14ac:dyDescent="0.2">
      <c r="A294" s="29"/>
      <c r="B294" s="35"/>
      <c r="C294" s="25"/>
      <c r="D294" s="30"/>
      <c r="E294" s="30"/>
    </row>
    <row r="295" spans="1:5" x14ac:dyDescent="0.2">
      <c r="A295" s="29"/>
      <c r="B295" s="35"/>
      <c r="C295" s="25"/>
      <c r="D295" s="30"/>
      <c r="E295" s="30"/>
    </row>
    <row r="296" spans="1:5" x14ac:dyDescent="0.2">
      <c r="A296" s="29"/>
      <c r="B296" s="35"/>
      <c r="C296" s="25"/>
      <c r="D296" s="30"/>
      <c r="E296" s="30"/>
    </row>
    <row r="297" spans="1:5" x14ac:dyDescent="0.2">
      <c r="A297" s="29"/>
      <c r="B297" s="35"/>
      <c r="C297" s="25"/>
      <c r="D297" s="30"/>
      <c r="E297" s="30"/>
    </row>
    <row r="298" spans="1:5" x14ac:dyDescent="0.2">
      <c r="A298" s="29"/>
      <c r="B298" s="35"/>
      <c r="C298" s="25"/>
      <c r="D298" s="30"/>
      <c r="E298" s="30"/>
    </row>
    <row r="299" spans="1:5" x14ac:dyDescent="0.2">
      <c r="A299" s="29"/>
      <c r="B299" s="35"/>
      <c r="C299" s="25"/>
      <c r="D299" s="30"/>
      <c r="E299" s="30"/>
    </row>
    <row r="300" spans="1:5" x14ac:dyDescent="0.2">
      <c r="A300" s="29"/>
      <c r="B300" s="35"/>
      <c r="C300" s="25"/>
      <c r="D300" s="30"/>
      <c r="E300" s="30"/>
    </row>
    <row r="301" spans="1:5" x14ac:dyDescent="0.2">
      <c r="A301" s="29"/>
      <c r="B301" s="35"/>
      <c r="C301" s="25"/>
      <c r="D301" s="30"/>
      <c r="E301" s="30"/>
    </row>
    <row r="302" spans="1:5" x14ac:dyDescent="0.2">
      <c r="A302" s="29"/>
      <c r="B302" s="35"/>
      <c r="C302" s="25"/>
      <c r="D302" s="30"/>
      <c r="E302" s="30"/>
    </row>
    <row r="303" spans="1:5" x14ac:dyDescent="0.2">
      <c r="A303" s="29"/>
      <c r="B303" s="35"/>
      <c r="C303" s="25"/>
      <c r="D303" s="30"/>
      <c r="E303" s="30"/>
    </row>
    <row r="304" spans="1:5" x14ac:dyDescent="0.2">
      <c r="A304" s="29"/>
      <c r="B304" s="35"/>
      <c r="C304" s="25"/>
      <c r="D304" s="30"/>
      <c r="E304" s="30"/>
    </row>
    <row r="305" spans="1:5" x14ac:dyDescent="0.2">
      <c r="A305" s="29"/>
      <c r="B305" s="35"/>
      <c r="C305" s="25"/>
      <c r="D305" s="30"/>
      <c r="E305" s="30"/>
    </row>
    <row r="306" spans="1:5" x14ac:dyDescent="0.2">
      <c r="A306" s="29"/>
      <c r="B306" s="35"/>
      <c r="C306" s="25"/>
      <c r="D306" s="30"/>
      <c r="E306" s="30"/>
    </row>
    <row r="307" spans="1:5" x14ac:dyDescent="0.2">
      <c r="A307" s="29"/>
      <c r="B307" s="35"/>
      <c r="C307" s="25"/>
      <c r="D307" s="30"/>
      <c r="E307" s="30"/>
    </row>
    <row r="308" spans="1:5" x14ac:dyDescent="0.2">
      <c r="A308" s="29"/>
      <c r="B308" s="35"/>
      <c r="C308" s="25"/>
      <c r="D308" s="30"/>
      <c r="E308" s="30"/>
    </row>
    <row r="309" spans="1:5" x14ac:dyDescent="0.2">
      <c r="A309" s="29"/>
      <c r="B309" s="35"/>
      <c r="C309" s="25"/>
      <c r="D309" s="30"/>
      <c r="E309" s="30"/>
    </row>
    <row r="310" spans="1:5" x14ac:dyDescent="0.2">
      <c r="A310" s="29"/>
      <c r="B310" s="35"/>
      <c r="C310" s="25"/>
      <c r="D310" s="30"/>
      <c r="E310" s="30"/>
    </row>
    <row r="311" spans="1:5" x14ac:dyDescent="0.2">
      <c r="A311" s="29"/>
      <c r="B311" s="35"/>
      <c r="C311" s="25"/>
      <c r="D311" s="30"/>
      <c r="E311" s="30"/>
    </row>
    <row r="312" spans="1:5" x14ac:dyDescent="0.2">
      <c r="A312" s="29"/>
      <c r="B312" s="35"/>
      <c r="C312" s="25"/>
      <c r="D312" s="30"/>
      <c r="E312" s="30"/>
    </row>
    <row r="313" spans="1:5" x14ac:dyDescent="0.2">
      <c r="A313" s="29"/>
      <c r="B313" s="35"/>
      <c r="C313" s="25"/>
      <c r="D313" s="30"/>
      <c r="E313" s="30"/>
    </row>
    <row r="314" spans="1:5" x14ac:dyDescent="0.2">
      <c r="A314" s="29"/>
      <c r="B314" s="35"/>
      <c r="C314" s="25"/>
      <c r="D314" s="30"/>
      <c r="E314" s="30"/>
    </row>
    <row r="315" spans="1:5" x14ac:dyDescent="0.2">
      <c r="A315" s="29"/>
      <c r="B315" s="35"/>
      <c r="C315" s="25"/>
      <c r="D315" s="30"/>
      <c r="E315" s="30"/>
    </row>
    <row r="316" spans="1:5" x14ac:dyDescent="0.2">
      <c r="A316" s="29"/>
      <c r="B316" s="35"/>
      <c r="C316" s="25"/>
      <c r="D316" s="30"/>
      <c r="E316" s="30"/>
    </row>
    <row r="317" spans="1:5" x14ac:dyDescent="0.2">
      <c r="A317" s="29"/>
      <c r="B317" s="35"/>
      <c r="C317" s="25"/>
      <c r="D317" s="30"/>
      <c r="E317" s="30"/>
    </row>
    <row r="318" spans="1:5" x14ac:dyDescent="0.2">
      <c r="A318" s="29"/>
      <c r="B318" s="35"/>
      <c r="C318" s="25"/>
      <c r="D318" s="30"/>
      <c r="E318" s="30"/>
    </row>
    <row r="319" spans="1:5" x14ac:dyDescent="0.2">
      <c r="A319" s="29"/>
      <c r="B319" s="35"/>
      <c r="C319" s="25"/>
      <c r="D319" s="30"/>
      <c r="E319" s="30"/>
    </row>
    <row r="320" spans="1:5" x14ac:dyDescent="0.2">
      <c r="A320" s="29"/>
      <c r="B320" s="35"/>
      <c r="C320" s="25"/>
      <c r="D320" s="30"/>
      <c r="E320" s="30"/>
    </row>
    <row r="321" spans="1:5" x14ac:dyDescent="0.2">
      <c r="A321" s="29"/>
      <c r="B321" s="35"/>
      <c r="C321" s="25"/>
      <c r="D321" s="30"/>
      <c r="E321" s="30"/>
    </row>
    <row r="322" spans="1:5" x14ac:dyDescent="0.2">
      <c r="A322" s="29"/>
      <c r="B322" s="35"/>
      <c r="C322" s="25"/>
      <c r="D322" s="30"/>
      <c r="E322" s="30"/>
    </row>
    <row r="323" spans="1:5" x14ac:dyDescent="0.2">
      <c r="A323" s="29"/>
      <c r="B323" s="35"/>
      <c r="C323" s="25"/>
      <c r="D323" s="30"/>
      <c r="E323" s="30"/>
    </row>
    <row r="324" spans="1:5" x14ac:dyDescent="0.2">
      <c r="A324" s="29"/>
      <c r="B324" s="35"/>
      <c r="C324" s="25"/>
      <c r="D324" s="30"/>
      <c r="E324" s="30"/>
    </row>
    <row r="325" spans="1:5" x14ac:dyDescent="0.2">
      <c r="A325" s="29"/>
      <c r="B325" s="35"/>
      <c r="C325" s="25"/>
      <c r="D325" s="30"/>
      <c r="E325" s="30"/>
    </row>
    <row r="326" spans="1:5" x14ac:dyDescent="0.2">
      <c r="A326" s="29"/>
      <c r="B326" s="35"/>
      <c r="C326" s="25"/>
      <c r="D326" s="30"/>
      <c r="E326" s="30"/>
    </row>
    <row r="327" spans="1:5" x14ac:dyDescent="0.2">
      <c r="A327" s="29"/>
      <c r="B327" s="35"/>
      <c r="C327" s="25"/>
      <c r="D327" s="30"/>
      <c r="E327" s="30"/>
    </row>
    <row r="328" spans="1:5" x14ac:dyDescent="0.2">
      <c r="A328" s="29"/>
      <c r="B328" s="35"/>
      <c r="C328" s="25"/>
      <c r="D328" s="30"/>
      <c r="E328" s="30"/>
    </row>
    <row r="329" spans="1:5" x14ac:dyDescent="0.2">
      <c r="A329" s="29"/>
      <c r="B329" s="35"/>
      <c r="C329" s="25"/>
      <c r="D329" s="30"/>
      <c r="E329" s="30"/>
    </row>
    <row r="330" spans="1:5" x14ac:dyDescent="0.2">
      <c r="A330" s="29"/>
      <c r="B330" s="35"/>
      <c r="C330" s="25"/>
      <c r="D330" s="30"/>
      <c r="E330" s="30"/>
    </row>
    <row r="331" spans="1:5" x14ac:dyDescent="0.2">
      <c r="A331" s="29"/>
      <c r="B331" s="35"/>
      <c r="C331" s="25"/>
      <c r="D331" s="30"/>
      <c r="E331" s="30"/>
    </row>
    <row r="332" spans="1:5" x14ac:dyDescent="0.2">
      <c r="A332" s="29"/>
      <c r="B332" s="35"/>
      <c r="C332" s="25"/>
      <c r="D332" s="30"/>
      <c r="E332" s="30"/>
    </row>
    <row r="333" spans="1:5" x14ac:dyDescent="0.2">
      <c r="A333" s="29"/>
      <c r="B333" s="35"/>
      <c r="C333" s="25"/>
      <c r="D333" s="30"/>
      <c r="E333" s="30"/>
    </row>
    <row r="334" spans="1:5" x14ac:dyDescent="0.2">
      <c r="A334" s="29"/>
      <c r="B334" s="35"/>
      <c r="C334" s="25"/>
      <c r="D334" s="30"/>
      <c r="E334" s="30"/>
    </row>
    <row r="335" spans="1:5" x14ac:dyDescent="0.2">
      <c r="A335" s="29"/>
      <c r="B335" s="35"/>
      <c r="C335" s="25"/>
      <c r="D335" s="30"/>
      <c r="E335" s="30"/>
    </row>
    <row r="336" spans="1:5" x14ac:dyDescent="0.2">
      <c r="A336" s="29"/>
      <c r="B336" s="35"/>
      <c r="C336" s="25"/>
      <c r="D336" s="30"/>
      <c r="E336" s="30"/>
    </row>
    <row r="337" spans="1:5" x14ac:dyDescent="0.2">
      <c r="A337" s="29"/>
      <c r="B337" s="35"/>
      <c r="C337" s="25"/>
      <c r="D337" s="30"/>
      <c r="E337" s="30"/>
    </row>
    <row r="338" spans="1:5" x14ac:dyDescent="0.2">
      <c r="A338" s="29"/>
      <c r="B338" s="35"/>
      <c r="C338" s="25"/>
      <c r="D338" s="30"/>
      <c r="E338" s="30"/>
    </row>
    <row r="339" spans="1:5" x14ac:dyDescent="0.2">
      <c r="A339" s="29"/>
      <c r="B339" s="35"/>
      <c r="C339" s="25"/>
      <c r="D339" s="30"/>
      <c r="E339" s="30"/>
    </row>
    <row r="340" spans="1:5" x14ac:dyDescent="0.2">
      <c r="A340" s="29"/>
      <c r="B340" s="35"/>
      <c r="C340" s="25"/>
      <c r="D340" s="30"/>
      <c r="E340" s="30"/>
    </row>
    <row r="341" spans="1:5" x14ac:dyDescent="0.2">
      <c r="A341" s="29"/>
      <c r="B341" s="35"/>
      <c r="C341" s="25"/>
      <c r="D341" s="30"/>
      <c r="E341" s="30"/>
    </row>
    <row r="342" spans="1:5" x14ac:dyDescent="0.2">
      <c r="A342" s="29"/>
      <c r="B342" s="35"/>
      <c r="C342" s="25"/>
      <c r="D342" s="30"/>
      <c r="E342" s="30"/>
    </row>
    <row r="343" spans="1:5" x14ac:dyDescent="0.2">
      <c r="A343" s="29"/>
      <c r="B343" s="35"/>
      <c r="C343" s="25"/>
      <c r="D343" s="30"/>
      <c r="E343" s="30"/>
    </row>
    <row r="344" spans="1:5" x14ac:dyDescent="0.2">
      <c r="A344" s="29"/>
      <c r="B344" s="35"/>
      <c r="C344" s="25"/>
      <c r="D344" s="30"/>
      <c r="E344" s="30"/>
    </row>
    <row r="345" spans="1:5" x14ac:dyDescent="0.2">
      <c r="A345" s="29"/>
      <c r="B345" s="35"/>
      <c r="C345" s="25"/>
      <c r="D345" s="30"/>
      <c r="E345" s="30"/>
    </row>
    <row r="346" spans="1:5" x14ac:dyDescent="0.2">
      <c r="A346" s="29"/>
      <c r="B346" s="35"/>
      <c r="C346" s="25"/>
      <c r="D346" s="30"/>
      <c r="E346" s="30"/>
    </row>
    <row r="347" spans="1:5" x14ac:dyDescent="0.2">
      <c r="A347" s="29"/>
      <c r="B347" s="35"/>
      <c r="C347" s="25"/>
      <c r="D347" s="30"/>
      <c r="E347" s="30"/>
    </row>
    <row r="348" spans="1:5" x14ac:dyDescent="0.2">
      <c r="A348" s="29"/>
      <c r="B348" s="35"/>
      <c r="C348" s="25"/>
      <c r="D348" s="30"/>
      <c r="E348" s="30"/>
    </row>
    <row r="349" spans="1:5" x14ac:dyDescent="0.2">
      <c r="A349" s="29"/>
      <c r="B349" s="35"/>
      <c r="C349" s="25"/>
      <c r="D349" s="30"/>
      <c r="E349" s="30"/>
    </row>
    <row r="350" spans="1:5" x14ac:dyDescent="0.2">
      <c r="A350" s="29"/>
      <c r="B350" s="35"/>
      <c r="C350" s="25"/>
      <c r="D350" s="30"/>
      <c r="E350" s="30"/>
    </row>
    <row r="351" spans="1:5" x14ac:dyDescent="0.2">
      <c r="A351" s="29"/>
      <c r="B351" s="35"/>
      <c r="C351" s="25"/>
      <c r="D351" s="30"/>
      <c r="E351" s="30"/>
    </row>
    <row r="352" spans="1:5" x14ac:dyDescent="0.2">
      <c r="A352" s="29"/>
      <c r="B352" s="35"/>
      <c r="C352" s="25"/>
      <c r="D352" s="30"/>
      <c r="E352" s="30"/>
    </row>
    <row r="353" spans="1:5" x14ac:dyDescent="0.2">
      <c r="A353" s="29"/>
      <c r="B353" s="35"/>
      <c r="C353" s="25"/>
      <c r="D353" s="30"/>
      <c r="E353" s="30"/>
    </row>
    <row r="354" spans="1:5" x14ac:dyDescent="0.2">
      <c r="A354" s="29"/>
      <c r="B354" s="35"/>
      <c r="C354" s="25"/>
      <c r="D354" s="30"/>
      <c r="E354" s="30"/>
    </row>
    <row r="355" spans="1:5" x14ac:dyDescent="0.2">
      <c r="A355" s="29"/>
      <c r="B355" s="35"/>
      <c r="C355" s="25"/>
      <c r="D355" s="30"/>
      <c r="E355" s="30"/>
    </row>
    <row r="356" spans="1:5" x14ac:dyDescent="0.2">
      <c r="A356" s="29"/>
      <c r="B356" s="35"/>
      <c r="C356" s="25"/>
      <c r="D356" s="30"/>
      <c r="E356" s="30"/>
    </row>
    <row r="357" spans="1:5" x14ac:dyDescent="0.2">
      <c r="A357" s="29"/>
      <c r="B357" s="35"/>
      <c r="C357" s="25"/>
      <c r="D357" s="30"/>
      <c r="E357" s="30"/>
    </row>
    <row r="358" spans="1:5" x14ac:dyDescent="0.2">
      <c r="A358" s="29"/>
      <c r="B358" s="35"/>
      <c r="C358" s="25"/>
      <c r="D358" s="30"/>
      <c r="E358" s="30"/>
    </row>
    <row r="359" spans="1:5" x14ac:dyDescent="0.2">
      <c r="A359" s="29"/>
      <c r="B359" s="35"/>
      <c r="C359" s="25"/>
      <c r="D359" s="30"/>
      <c r="E359" s="30"/>
    </row>
    <row r="360" spans="1:5" x14ac:dyDescent="0.2">
      <c r="A360" s="29"/>
      <c r="B360" s="35"/>
      <c r="C360" s="25"/>
      <c r="D360" s="30"/>
      <c r="E360" s="30"/>
    </row>
    <row r="361" spans="1:5" x14ac:dyDescent="0.2">
      <c r="A361" s="29"/>
      <c r="B361" s="35"/>
      <c r="C361" s="25"/>
      <c r="D361" s="30"/>
      <c r="E361" s="30"/>
    </row>
    <row r="362" spans="1:5" x14ac:dyDescent="0.2">
      <c r="A362" s="29"/>
      <c r="B362" s="35"/>
      <c r="C362" s="25"/>
      <c r="D362" s="30"/>
      <c r="E362" s="30"/>
    </row>
    <row r="363" spans="1:5" x14ac:dyDescent="0.2">
      <c r="A363" s="29"/>
      <c r="B363" s="35"/>
      <c r="C363" s="25"/>
      <c r="D363" s="30"/>
      <c r="E363" s="30"/>
    </row>
    <row r="364" spans="1:5" x14ac:dyDescent="0.2">
      <c r="A364" s="29"/>
      <c r="B364" s="35"/>
      <c r="C364" s="25"/>
      <c r="D364" s="30"/>
      <c r="E364" s="30"/>
    </row>
    <row r="365" spans="1:5" x14ac:dyDescent="0.2">
      <c r="A365" s="29"/>
      <c r="B365" s="35"/>
      <c r="C365" s="25"/>
      <c r="D365" s="30"/>
      <c r="E365" s="30"/>
    </row>
    <row r="366" spans="1:5" x14ac:dyDescent="0.2">
      <c r="A366" s="29"/>
      <c r="B366" s="35"/>
      <c r="C366" s="25"/>
      <c r="D366" s="30"/>
      <c r="E366" s="30"/>
    </row>
    <row r="367" spans="1:5" x14ac:dyDescent="0.2">
      <c r="A367" s="29"/>
      <c r="B367" s="35"/>
      <c r="C367" s="25"/>
      <c r="D367" s="30"/>
      <c r="E367" s="30"/>
    </row>
    <row r="368" spans="1:5" x14ac:dyDescent="0.2">
      <c r="A368" s="29"/>
      <c r="B368" s="35"/>
      <c r="C368" s="25"/>
      <c r="D368" s="30"/>
      <c r="E368" s="30"/>
    </row>
    <row r="369" spans="1:5" x14ac:dyDescent="0.2">
      <c r="A369" s="29"/>
      <c r="B369" s="35"/>
      <c r="C369" s="25"/>
      <c r="D369" s="30"/>
      <c r="E369" s="30"/>
    </row>
    <row r="370" spans="1:5" x14ac:dyDescent="0.2">
      <c r="A370" s="29"/>
      <c r="B370" s="35"/>
      <c r="C370" s="25"/>
      <c r="D370" s="30"/>
      <c r="E370" s="30"/>
    </row>
    <row r="371" spans="1:5" x14ac:dyDescent="0.2">
      <c r="A371" s="29"/>
      <c r="B371" s="35"/>
      <c r="C371" s="25"/>
      <c r="D371" s="30"/>
      <c r="E371" s="30"/>
    </row>
    <row r="372" spans="1:5" x14ac:dyDescent="0.2">
      <c r="A372" s="29"/>
      <c r="B372" s="35"/>
      <c r="C372" s="25"/>
      <c r="D372" s="30"/>
      <c r="E372" s="30"/>
    </row>
    <row r="373" spans="1:5" x14ac:dyDescent="0.2">
      <c r="A373" s="29"/>
      <c r="B373" s="35"/>
      <c r="C373" s="25"/>
      <c r="D373" s="30"/>
      <c r="E373" s="30"/>
    </row>
    <row r="374" spans="1:5" x14ac:dyDescent="0.2">
      <c r="A374" s="29"/>
      <c r="B374" s="35"/>
      <c r="C374" s="25"/>
      <c r="D374" s="30"/>
      <c r="E374" s="30"/>
    </row>
    <row r="375" spans="1:5" x14ac:dyDescent="0.2">
      <c r="A375" s="29"/>
      <c r="B375" s="35"/>
      <c r="C375" s="25"/>
      <c r="D375" s="30"/>
      <c r="E375" s="30"/>
    </row>
    <row r="376" spans="1:5" x14ac:dyDescent="0.2">
      <c r="A376" s="29"/>
      <c r="B376" s="35"/>
      <c r="C376" s="25"/>
      <c r="D376" s="30"/>
      <c r="E376" s="30"/>
    </row>
    <row r="377" spans="1:5" x14ac:dyDescent="0.2">
      <c r="A377" s="29"/>
      <c r="B377" s="25"/>
      <c r="C377" s="25"/>
      <c r="D377" s="30"/>
      <c r="E377" s="30"/>
    </row>
    <row r="378" spans="1:5" x14ac:dyDescent="0.2">
      <c r="A378" s="29"/>
      <c r="B378" s="25"/>
      <c r="C378" s="25"/>
      <c r="D378" s="30"/>
      <c r="E378" s="30"/>
    </row>
    <row r="379" spans="1:5" x14ac:dyDescent="0.2">
      <c r="A379" s="29"/>
      <c r="B379" s="25"/>
      <c r="C379" s="25"/>
      <c r="D379" s="30"/>
      <c r="E379" s="30"/>
    </row>
    <row r="380" spans="1:5" x14ac:dyDescent="0.2">
      <c r="A380" s="29"/>
      <c r="B380" s="25"/>
      <c r="C380" s="25"/>
      <c r="D380" s="30"/>
      <c r="E380" s="30"/>
    </row>
    <row r="381" spans="1:5" x14ac:dyDescent="0.2">
      <c r="A381" s="29"/>
      <c r="B381" s="25"/>
      <c r="C381" s="25"/>
      <c r="D381" s="30"/>
      <c r="E381" s="30"/>
    </row>
    <row r="382" spans="1:5" x14ac:dyDescent="0.2">
      <c r="A382" s="29"/>
      <c r="B382" s="25"/>
      <c r="C382" s="25"/>
      <c r="D382" s="30"/>
      <c r="E382" s="30"/>
    </row>
    <row r="383" spans="1:5" x14ac:dyDescent="0.2">
      <c r="A383" s="29"/>
      <c r="B383" s="25"/>
      <c r="C383" s="25"/>
      <c r="D383" s="30"/>
      <c r="E383" s="30"/>
    </row>
    <row r="384" spans="1:5" x14ac:dyDescent="0.2">
      <c r="A384" s="29"/>
      <c r="B384" s="25"/>
      <c r="C384" s="25"/>
      <c r="D384" s="30"/>
      <c r="E384" s="30"/>
    </row>
    <row r="385" spans="1:5" x14ac:dyDescent="0.2">
      <c r="A385" s="29"/>
      <c r="B385" s="25"/>
      <c r="C385" s="25"/>
      <c r="D385" s="30"/>
      <c r="E385" s="30"/>
    </row>
    <row r="386" spans="1:5" x14ac:dyDescent="0.2">
      <c r="A386" s="29"/>
      <c r="B386" s="25"/>
      <c r="C386" s="25"/>
      <c r="D386" s="30"/>
      <c r="E386" s="30"/>
    </row>
    <row r="387" spans="1:5" x14ac:dyDescent="0.2">
      <c r="A387" s="29"/>
      <c r="B387" s="25"/>
      <c r="C387" s="25"/>
      <c r="D387" s="30"/>
      <c r="E387" s="30"/>
    </row>
    <row r="388" spans="1:5" x14ac:dyDescent="0.2">
      <c r="A388" s="29"/>
      <c r="B388" s="25"/>
      <c r="C388" s="25"/>
      <c r="D388" s="30"/>
      <c r="E388" s="30"/>
    </row>
    <row r="389" spans="1:5" x14ac:dyDescent="0.2">
      <c r="A389" s="29"/>
      <c r="B389" s="25"/>
      <c r="C389" s="25"/>
      <c r="D389" s="30"/>
      <c r="E389" s="30"/>
    </row>
    <row r="390" spans="1:5" x14ac:dyDescent="0.2">
      <c r="A390" s="29"/>
      <c r="B390" s="25"/>
      <c r="C390" s="25"/>
      <c r="D390" s="30"/>
      <c r="E390" s="30"/>
    </row>
    <row r="391" spans="1:5" x14ac:dyDescent="0.2">
      <c r="A391" s="29"/>
      <c r="B391" s="8"/>
      <c r="C391" s="8"/>
      <c r="D391" s="30"/>
      <c r="E391" s="30"/>
    </row>
    <row r="392" spans="1:5" x14ac:dyDescent="0.2">
      <c r="A392" s="29"/>
      <c r="B392" s="8"/>
      <c r="C392" s="8"/>
      <c r="D392" s="30"/>
      <c r="E392" s="30"/>
    </row>
    <row r="393" spans="1:5" x14ac:dyDescent="0.2">
      <c r="A393" s="29"/>
      <c r="B393" s="8"/>
      <c r="C393" s="8"/>
      <c r="D393" s="30"/>
      <c r="E393" s="30"/>
    </row>
    <row r="394" spans="1:5" x14ac:dyDescent="0.2">
      <c r="A394" s="29"/>
      <c r="B394" s="28"/>
      <c r="D394" s="30"/>
      <c r="E394" s="30"/>
    </row>
    <row r="395" spans="1:5" x14ac:dyDescent="0.2">
      <c r="A395" s="29"/>
      <c r="B395" s="28"/>
      <c r="D395" s="30"/>
      <c r="E395" s="30"/>
    </row>
    <row r="396" spans="1:5" x14ac:dyDescent="0.2">
      <c r="A396" s="29"/>
      <c r="B396" s="28"/>
      <c r="D396" s="30"/>
      <c r="E396" s="30"/>
    </row>
    <row r="397" spans="1:5" x14ac:dyDescent="0.2">
      <c r="A397" s="29"/>
      <c r="B397" s="28"/>
      <c r="D397" s="30"/>
      <c r="E397" s="30"/>
    </row>
    <row r="398" spans="1:5" x14ac:dyDescent="0.2">
      <c r="A398" s="29"/>
      <c r="B398" s="28"/>
      <c r="D398" s="30"/>
      <c r="E398" s="30"/>
    </row>
    <row r="399" spans="1:5" x14ac:dyDescent="0.2">
      <c r="A399" s="29"/>
      <c r="B399" s="28"/>
      <c r="D399" s="30"/>
      <c r="E399" s="30"/>
    </row>
    <row r="400" spans="1:5" x14ac:dyDescent="0.2">
      <c r="A400" s="29"/>
      <c r="B400" s="28"/>
      <c r="D400" s="30"/>
      <c r="E400" s="30"/>
    </row>
    <row r="401" spans="1:5" x14ac:dyDescent="0.2">
      <c r="A401" s="29"/>
      <c r="B401" s="28"/>
      <c r="D401" s="30"/>
      <c r="E401" s="30"/>
    </row>
    <row r="402" spans="1:5" x14ac:dyDescent="0.2">
      <c r="A402" s="27"/>
      <c r="B402" s="27"/>
      <c r="C402" s="27"/>
      <c r="D402" s="31"/>
      <c r="E402" s="31"/>
    </row>
    <row r="403" spans="1:5" x14ac:dyDescent="0.2">
      <c r="A403" s="27"/>
      <c r="B403" s="27"/>
      <c r="C403" s="27"/>
      <c r="D403" s="31"/>
      <c r="E403" s="31"/>
    </row>
    <row r="404" spans="1:5" x14ac:dyDescent="0.2">
      <c r="D404" s="5"/>
      <c r="E404" s="5"/>
    </row>
    <row r="405" spans="1:5" x14ac:dyDescent="0.2">
      <c r="D405" s="5"/>
      <c r="E405" s="5"/>
    </row>
    <row r="406" spans="1:5" x14ac:dyDescent="0.2">
      <c r="D406" s="5"/>
      <c r="E406" s="5"/>
    </row>
    <row r="407" spans="1:5" x14ac:dyDescent="0.2">
      <c r="D407" s="5"/>
      <c r="E407" s="5"/>
    </row>
    <row r="408" spans="1:5" x14ac:dyDescent="0.2">
      <c r="D408" s="5"/>
      <c r="E408" s="5"/>
    </row>
    <row r="409" spans="1:5" x14ac:dyDescent="0.2">
      <c r="D409" s="5"/>
      <c r="E409" s="5"/>
    </row>
    <row r="410" spans="1:5" x14ac:dyDescent="0.2">
      <c r="D410" s="5"/>
      <c r="E410" s="5"/>
    </row>
    <row r="411" spans="1:5" x14ac:dyDescent="0.2">
      <c r="A411" s="27"/>
      <c r="B411" s="27"/>
      <c r="C411" s="27"/>
      <c r="D411" s="31"/>
      <c r="E411" s="31"/>
    </row>
  </sheetData>
  <dataConsolidate/>
  <pageMargins left="0.70866141732283472" right="0.70866141732283472" top="0.74803149606299213" bottom="0.74803149606299213" header="0.31496062992125984" footer="0.31496062992125984"/>
  <pageSetup paperSize="9" orientation="landscape" horizontalDpi="300" verticalDpi="300"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FrontPageContents"/>
  <dimension ref="A1:I12"/>
  <sheetViews>
    <sheetView showGridLines="0" zoomScale="90" zoomScaleNormal="90" workbookViewId="0">
      <selection activeCell="C10" sqref="C10"/>
    </sheetView>
  </sheetViews>
  <sheetFormatPr defaultColWidth="0" defaultRowHeight="12.75" zeroHeight="1" x14ac:dyDescent="0.2"/>
  <cols>
    <col min="1" max="1" width="3.28515625" customWidth="1"/>
    <col min="2" max="2" width="26.85546875" bestFit="1" customWidth="1"/>
    <col min="3" max="4" width="55.7109375" customWidth="1"/>
    <col min="5" max="5" width="10.28515625" bestFit="1" customWidth="1"/>
    <col min="6" max="8" width="5.5703125" bestFit="1" customWidth="1"/>
    <col min="9" max="9" width="3.5703125" customWidth="1"/>
    <col min="10" max="16384" width="8.85546875" hidden="1"/>
  </cols>
  <sheetData>
    <row r="1" spans="2:8" x14ac:dyDescent="0.2"/>
    <row r="2" spans="2:8" ht="15" x14ac:dyDescent="0.25">
      <c r="B2" s="18" t="s">
        <v>114</v>
      </c>
      <c r="C2" s="17" t="str">
        <f t="array" aca="1" ref="C2:H2" ca="1">TRANSPOSE(Equipment_Status)</f>
        <v>Online</v>
      </c>
      <c r="D2" s="17" t="str">
        <f ca="1"/>
        <v>Offline</v>
      </c>
      <c r="E2" s="17" t="str">
        <f ca="1"/>
        <v>Test Mode</v>
      </c>
      <c r="F2" s="17" t="e">
        <f ca="1"/>
        <v>#N/A</v>
      </c>
      <c r="G2" s="17" t="e">
        <f ca="1"/>
        <v>#N/A</v>
      </c>
      <c r="H2" s="17" t="e">
        <f ca="1"/>
        <v>#N/A</v>
      </c>
    </row>
    <row r="3" spans="2:8" ht="38.25" x14ac:dyDescent="0.2">
      <c r="B3" s="20" t="s">
        <v>83</v>
      </c>
      <c r="C3" s="22" t="s">
        <v>209</v>
      </c>
      <c r="D3" s="22" t="s">
        <v>210</v>
      </c>
      <c r="E3" s="23"/>
      <c r="F3" s="23"/>
      <c r="G3" s="23"/>
      <c r="H3" s="23"/>
    </row>
    <row r="4" spans="2:8" s="24" customFormat="1" ht="15" x14ac:dyDescent="0.2">
      <c r="B4" s="38" t="s">
        <v>181</v>
      </c>
      <c r="C4" s="22" t="s">
        <v>245</v>
      </c>
      <c r="D4" s="22" t="s">
        <v>245</v>
      </c>
      <c r="E4" s="23"/>
      <c r="F4" s="23"/>
      <c r="G4" s="23"/>
      <c r="H4" s="23"/>
    </row>
    <row r="5" spans="2:8" ht="15" x14ac:dyDescent="0.2">
      <c r="B5" s="20" t="s">
        <v>84</v>
      </c>
      <c r="C5" s="22" t="s">
        <v>246</v>
      </c>
      <c r="D5" s="22" t="s">
        <v>246</v>
      </c>
      <c r="E5" s="23"/>
      <c r="F5" s="23"/>
      <c r="G5" s="23"/>
      <c r="H5" s="23"/>
    </row>
    <row r="6" spans="2:8" ht="76.5" x14ac:dyDescent="0.2">
      <c r="B6" s="20" t="s">
        <v>115</v>
      </c>
      <c r="C6" s="22" t="s">
        <v>173</v>
      </c>
      <c r="D6" s="22" t="s">
        <v>174</v>
      </c>
      <c r="E6" s="23"/>
      <c r="F6" s="23"/>
      <c r="G6" s="23"/>
      <c r="H6" s="23"/>
    </row>
    <row r="7" spans="2:8" ht="15" x14ac:dyDescent="0.2">
      <c r="B7" s="20" t="s">
        <v>86</v>
      </c>
      <c r="C7" s="22" t="s">
        <v>134</v>
      </c>
      <c r="D7" s="22" t="s">
        <v>134</v>
      </c>
      <c r="E7" s="23"/>
      <c r="F7" s="23"/>
      <c r="G7" s="23"/>
      <c r="H7" s="23"/>
    </row>
    <row r="8" spans="2:8" ht="25.5" x14ac:dyDescent="0.2">
      <c r="B8" s="20" t="s">
        <v>116</v>
      </c>
      <c r="C8" s="22" t="s">
        <v>135</v>
      </c>
      <c r="D8" s="22" t="s">
        <v>136</v>
      </c>
      <c r="E8" s="23"/>
      <c r="F8" s="23"/>
      <c r="G8" s="23"/>
      <c r="H8" s="23"/>
    </row>
    <row r="9" spans="2:8" ht="15" x14ac:dyDescent="0.2">
      <c r="B9" s="20" t="s">
        <v>117</v>
      </c>
      <c r="C9" s="22"/>
      <c r="D9" s="22"/>
      <c r="E9" s="23"/>
      <c r="F9" s="23"/>
      <c r="G9" s="23"/>
      <c r="H9" s="23"/>
    </row>
    <row r="10" spans="2:8" ht="15" x14ac:dyDescent="0.2">
      <c r="B10" s="20" t="s">
        <v>91</v>
      </c>
      <c r="C10" s="22"/>
      <c r="D10" s="22"/>
      <c r="E10" s="23"/>
      <c r="F10" s="23"/>
      <c r="G10" s="23"/>
      <c r="H10" s="23"/>
    </row>
    <row r="11" spans="2:8" ht="15" x14ac:dyDescent="0.2">
      <c r="B11" s="20" t="s">
        <v>92</v>
      </c>
      <c r="C11" s="22">
        <v>2</v>
      </c>
      <c r="D11" s="22">
        <v>2</v>
      </c>
      <c r="E11" s="23"/>
      <c r="F11" s="23"/>
      <c r="G11" s="23"/>
      <c r="H11" s="23"/>
    </row>
    <row r="12" spans="2:8" x14ac:dyDescent="0.2"/>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FrontPageContents_AIM"/>
  <dimension ref="A1:J24"/>
  <sheetViews>
    <sheetView showGridLines="0" zoomScaleNormal="100" workbookViewId="0">
      <selection activeCell="C10" sqref="C10"/>
    </sheetView>
  </sheetViews>
  <sheetFormatPr defaultColWidth="0" defaultRowHeight="12.75" zeroHeight="1" x14ac:dyDescent="0.2"/>
  <cols>
    <col min="1" max="1" width="3" customWidth="1"/>
    <col min="2" max="2" width="18.5703125" bestFit="1" customWidth="1"/>
    <col min="3" max="3" width="28.140625" bestFit="1" customWidth="1"/>
    <col min="4" max="4" width="28" bestFit="1" customWidth="1"/>
    <col min="5" max="5" width="31.7109375" bestFit="1" customWidth="1"/>
    <col min="6" max="8" width="15.140625" customWidth="1"/>
    <col min="9" max="9" width="2.85546875" customWidth="1"/>
    <col min="10" max="10" width="14.28515625" hidden="1" customWidth="1"/>
    <col min="11" max="16384" width="8.85546875" hidden="1"/>
  </cols>
  <sheetData>
    <row r="1" spans="2:10" x14ac:dyDescent="0.2"/>
    <row r="2" spans="2:10" ht="15.75" x14ac:dyDescent="0.25">
      <c r="B2" s="19" t="s">
        <v>113</v>
      </c>
      <c r="C2" s="17" t="str">
        <f t="array" aca="1" ref="C2:H2" ca="1">TRANSPOSE(Equipment_Status)</f>
        <v>Online</v>
      </c>
      <c r="D2" s="17" t="str">
        <f ca="1"/>
        <v>Offline</v>
      </c>
      <c r="E2" s="17" t="str">
        <f ca="1"/>
        <v>Test Mode</v>
      </c>
      <c r="F2" s="17" t="e">
        <f ca="1"/>
        <v>#N/A</v>
      </c>
      <c r="G2" s="17" t="e">
        <f ca="1"/>
        <v>#N/A</v>
      </c>
      <c r="H2" s="17" t="e">
        <f ca="1"/>
        <v>#N/A</v>
      </c>
      <c r="J2" s="8"/>
    </row>
    <row r="3" spans="2:10" ht="15" x14ac:dyDescent="0.25">
      <c r="B3" s="17" t="str">
        <f t="array" aca="1" ref="B3:B22" ca="1">Trade</f>
        <v>Mechanical</v>
      </c>
      <c r="C3" s="21" t="str">
        <f ca="1">$B3 &amp; "-" &amp; C$2 &amp; " Aim"</f>
        <v>Mechanical-Online Aim</v>
      </c>
      <c r="D3" s="21" t="str">
        <f t="shared" ref="D3:H3" ca="1" si="0">$B3 &amp; "-" &amp; D$2 &amp; " Aim"</f>
        <v>Mechanical-Offline Aim</v>
      </c>
      <c r="E3" s="21" t="str">
        <f t="shared" ca="1" si="0"/>
        <v>Mechanical-Test Mode Aim</v>
      </c>
      <c r="F3" s="21" t="e">
        <f t="shared" ca="1" si="0"/>
        <v>#N/A</v>
      </c>
      <c r="G3" s="21" t="e">
        <f t="shared" ca="1" si="0"/>
        <v>#N/A</v>
      </c>
      <c r="H3" s="21" t="e">
        <f t="shared" ca="1" si="0"/>
        <v>#N/A</v>
      </c>
    </row>
    <row r="4" spans="2:10" ht="15" x14ac:dyDescent="0.25">
      <c r="B4" s="17" t="str">
        <f ca="1"/>
        <v>Electrical</v>
      </c>
      <c r="C4" s="21" t="str">
        <f t="shared" ref="C4:H22" ca="1" si="1">$B4 &amp; "-" &amp; C$2 &amp; " Aim"</f>
        <v>Electrical-Online Aim</v>
      </c>
      <c r="D4" s="21" t="str">
        <f t="shared" ca="1" si="1"/>
        <v>Electrical-Offline Aim</v>
      </c>
      <c r="E4" s="21" t="str">
        <f t="shared" ca="1" si="1"/>
        <v>Electrical-Test Mode Aim</v>
      </c>
      <c r="F4" s="21" t="e">
        <f t="shared" ca="1" si="1"/>
        <v>#N/A</v>
      </c>
      <c r="G4" s="21" t="e">
        <f t="shared" ca="1" si="1"/>
        <v>#N/A</v>
      </c>
      <c r="H4" s="21" t="e">
        <f t="shared" ca="1" si="1"/>
        <v>#N/A</v>
      </c>
    </row>
    <row r="5" spans="2:10" ht="15" x14ac:dyDescent="0.25">
      <c r="B5" s="17" t="str">
        <f ca="1"/>
        <v>Engineering</v>
      </c>
      <c r="C5" s="21" t="str">
        <f t="shared" ca="1" si="1"/>
        <v>Engineering-Online Aim</v>
      </c>
      <c r="D5" s="21" t="str">
        <f t="shared" ca="1" si="1"/>
        <v>Engineering-Offline Aim</v>
      </c>
      <c r="E5" s="21" t="str">
        <f t="shared" ca="1" si="1"/>
        <v>Engineering-Test Mode Aim</v>
      </c>
      <c r="F5" s="21" t="e">
        <f t="shared" ca="1" si="1"/>
        <v>#N/A</v>
      </c>
      <c r="G5" s="21" t="e">
        <f t="shared" ca="1" si="1"/>
        <v>#N/A</v>
      </c>
      <c r="H5" s="21" t="e">
        <f t="shared" ca="1" si="1"/>
        <v>#N/A</v>
      </c>
    </row>
    <row r="6" spans="2:10" ht="15" x14ac:dyDescent="0.25">
      <c r="B6" s="17" t="str">
        <f ca="1"/>
        <v>Instrumentation</v>
      </c>
      <c r="C6" s="21" t="str">
        <f t="shared" ca="1" si="1"/>
        <v>Instrumentation-Online Aim</v>
      </c>
      <c r="D6" s="21" t="str">
        <f t="shared" ca="1" si="1"/>
        <v>Instrumentation-Offline Aim</v>
      </c>
      <c r="E6" s="21" t="str">
        <f t="shared" ca="1" si="1"/>
        <v>Instrumentation-Test Mode Aim</v>
      </c>
      <c r="F6" s="21" t="e">
        <f t="shared" ca="1" si="1"/>
        <v>#N/A</v>
      </c>
      <c r="G6" s="21" t="e">
        <f t="shared" ca="1" si="1"/>
        <v>#N/A</v>
      </c>
      <c r="H6" s="21" t="e">
        <f t="shared" ca="1" si="1"/>
        <v>#N/A</v>
      </c>
    </row>
    <row r="7" spans="2:10" ht="15" x14ac:dyDescent="0.25">
      <c r="B7" s="17" t="str">
        <f ca="1"/>
        <v>Lubrication</v>
      </c>
      <c r="C7" s="21" t="str">
        <f t="shared" ca="1" si="1"/>
        <v>Lubrication-Online Aim</v>
      </c>
      <c r="D7" s="21" t="str">
        <f t="shared" ca="1" si="1"/>
        <v>Lubrication-Offline Aim</v>
      </c>
      <c r="E7" s="21" t="str">
        <f t="shared" ca="1" si="1"/>
        <v>Lubrication-Test Mode Aim</v>
      </c>
      <c r="F7" s="21" t="e">
        <f t="shared" ca="1" si="1"/>
        <v>#N/A</v>
      </c>
      <c r="G7" s="21" t="e">
        <f t="shared" ca="1" si="1"/>
        <v>#N/A</v>
      </c>
      <c r="H7" s="21" t="e">
        <f t="shared" ca="1" si="1"/>
        <v>#N/A</v>
      </c>
    </row>
    <row r="8" spans="2:10" ht="15" x14ac:dyDescent="0.25">
      <c r="B8" s="17" t="str">
        <f ca="1"/>
        <v>Condition Monitoring</v>
      </c>
      <c r="C8" s="21" t="str">
        <f t="shared" ca="1" si="1"/>
        <v>Condition Monitoring-Online Aim</v>
      </c>
      <c r="D8" s="21" t="str">
        <f t="shared" ca="1" si="1"/>
        <v>Condition Monitoring-Offline Aim</v>
      </c>
      <c r="E8" s="21" t="str">
        <f t="shared" ca="1" si="1"/>
        <v>Condition Monitoring-Test Mode Aim</v>
      </c>
      <c r="F8" s="21" t="e">
        <f t="shared" ca="1" si="1"/>
        <v>#N/A</v>
      </c>
      <c r="G8" s="21" t="e">
        <f t="shared" ca="1" si="1"/>
        <v>#N/A</v>
      </c>
      <c r="H8" s="21" t="e">
        <f t="shared" ca="1" si="1"/>
        <v>#N/A</v>
      </c>
    </row>
    <row r="9" spans="2:10" ht="15" x14ac:dyDescent="0.25">
      <c r="B9" s="17" t="str">
        <f ca="1"/>
        <v>Operators</v>
      </c>
      <c r="C9" s="21" t="str">
        <f t="shared" ca="1" si="1"/>
        <v>Operators-Online Aim</v>
      </c>
      <c r="D9" s="21" t="str">
        <f t="shared" ca="1" si="1"/>
        <v>Operators-Offline Aim</v>
      </c>
      <c r="E9" s="21" t="str">
        <f t="shared" ca="1" si="1"/>
        <v>Operators-Test Mode Aim</v>
      </c>
      <c r="F9" s="21" t="e">
        <f t="shared" ca="1" si="1"/>
        <v>#N/A</v>
      </c>
      <c r="G9" s="21" t="e">
        <f t="shared" ca="1" si="1"/>
        <v>#N/A</v>
      </c>
      <c r="H9" s="21" t="e">
        <f t="shared" ca="1" si="1"/>
        <v>#N/A</v>
      </c>
    </row>
    <row r="10" spans="2:10" ht="15" x14ac:dyDescent="0.25">
      <c r="B10" s="17" t="str">
        <f ca="1"/>
        <v>Test Technician</v>
      </c>
      <c r="C10" s="21" t="str">
        <f t="shared" ca="1" si="1"/>
        <v>Test Technician-Online Aim</v>
      </c>
      <c r="D10" s="21" t="str">
        <f t="shared" ca="1" si="1"/>
        <v>Test Technician-Offline Aim</v>
      </c>
      <c r="E10" s="21" t="str">
        <f t="shared" ca="1" si="1"/>
        <v>Test Technician-Test Mode Aim</v>
      </c>
      <c r="F10" s="21" t="e">
        <f t="shared" ca="1" si="1"/>
        <v>#N/A</v>
      </c>
      <c r="G10" s="21" t="e">
        <f t="shared" ca="1" si="1"/>
        <v>#N/A</v>
      </c>
      <c r="H10" s="21" t="e">
        <f t="shared" ca="1" si="1"/>
        <v>#N/A</v>
      </c>
    </row>
    <row r="11" spans="2:10" ht="15" x14ac:dyDescent="0.25">
      <c r="B11" s="17" t="e">
        <f ca="1"/>
        <v>#N/A</v>
      </c>
      <c r="C11" s="21" t="e">
        <f t="shared" ca="1" si="1"/>
        <v>#N/A</v>
      </c>
      <c r="D11" s="21" t="e">
        <f t="shared" ca="1" si="1"/>
        <v>#N/A</v>
      </c>
      <c r="E11" s="21" t="e">
        <f t="shared" ca="1" si="1"/>
        <v>#N/A</v>
      </c>
      <c r="F11" s="21" t="e">
        <f t="shared" ca="1" si="1"/>
        <v>#N/A</v>
      </c>
      <c r="G11" s="21" t="e">
        <f t="shared" ca="1" si="1"/>
        <v>#N/A</v>
      </c>
      <c r="H11" s="21" t="e">
        <f t="shared" ca="1" si="1"/>
        <v>#N/A</v>
      </c>
    </row>
    <row r="12" spans="2:10" ht="15" x14ac:dyDescent="0.25">
      <c r="B12" s="17" t="e">
        <f ca="1"/>
        <v>#N/A</v>
      </c>
      <c r="C12" s="21" t="e">
        <f t="shared" ca="1" si="1"/>
        <v>#N/A</v>
      </c>
      <c r="D12" s="21" t="e">
        <f t="shared" ca="1" si="1"/>
        <v>#N/A</v>
      </c>
      <c r="E12" s="21" t="e">
        <f t="shared" ca="1" si="1"/>
        <v>#N/A</v>
      </c>
      <c r="F12" s="21" t="e">
        <f t="shared" ca="1" si="1"/>
        <v>#N/A</v>
      </c>
      <c r="G12" s="21" t="e">
        <f t="shared" ca="1" si="1"/>
        <v>#N/A</v>
      </c>
      <c r="H12" s="21" t="e">
        <f t="shared" ca="1" si="1"/>
        <v>#N/A</v>
      </c>
    </row>
    <row r="13" spans="2:10" ht="15" x14ac:dyDescent="0.25">
      <c r="B13" s="17" t="e">
        <f ca="1"/>
        <v>#N/A</v>
      </c>
      <c r="C13" s="21" t="e">
        <f t="shared" ca="1" si="1"/>
        <v>#N/A</v>
      </c>
      <c r="D13" s="21" t="e">
        <f t="shared" ca="1" si="1"/>
        <v>#N/A</v>
      </c>
      <c r="E13" s="21" t="e">
        <f t="shared" ca="1" si="1"/>
        <v>#N/A</v>
      </c>
      <c r="F13" s="21" t="e">
        <f t="shared" ca="1" si="1"/>
        <v>#N/A</v>
      </c>
      <c r="G13" s="21" t="e">
        <f t="shared" ca="1" si="1"/>
        <v>#N/A</v>
      </c>
      <c r="H13" s="21" t="e">
        <f t="shared" ca="1" si="1"/>
        <v>#N/A</v>
      </c>
    </row>
    <row r="14" spans="2:10" ht="15" x14ac:dyDescent="0.25">
      <c r="B14" s="17" t="e">
        <f ca="1"/>
        <v>#N/A</v>
      </c>
      <c r="C14" s="21" t="e">
        <f t="shared" ca="1" si="1"/>
        <v>#N/A</v>
      </c>
      <c r="D14" s="21" t="e">
        <f t="shared" ca="1" si="1"/>
        <v>#N/A</v>
      </c>
      <c r="E14" s="21" t="e">
        <f t="shared" ca="1" si="1"/>
        <v>#N/A</v>
      </c>
      <c r="F14" s="21" t="e">
        <f t="shared" ca="1" si="1"/>
        <v>#N/A</v>
      </c>
      <c r="G14" s="21" t="e">
        <f t="shared" ca="1" si="1"/>
        <v>#N/A</v>
      </c>
      <c r="H14" s="21" t="e">
        <f t="shared" ca="1" si="1"/>
        <v>#N/A</v>
      </c>
    </row>
    <row r="15" spans="2:10" ht="15" x14ac:dyDescent="0.25">
      <c r="B15" s="17" t="e">
        <f ca="1"/>
        <v>#N/A</v>
      </c>
      <c r="C15" s="21" t="e">
        <f t="shared" ca="1" si="1"/>
        <v>#N/A</v>
      </c>
      <c r="D15" s="21" t="e">
        <f t="shared" ca="1" si="1"/>
        <v>#N/A</v>
      </c>
      <c r="E15" s="21" t="e">
        <f t="shared" ca="1" si="1"/>
        <v>#N/A</v>
      </c>
      <c r="F15" s="21" t="e">
        <f t="shared" ca="1" si="1"/>
        <v>#N/A</v>
      </c>
      <c r="G15" s="21" t="e">
        <f t="shared" ca="1" si="1"/>
        <v>#N/A</v>
      </c>
      <c r="H15" s="21" t="e">
        <f t="shared" ca="1" si="1"/>
        <v>#N/A</v>
      </c>
    </row>
    <row r="16" spans="2:10" ht="15" x14ac:dyDescent="0.25">
      <c r="B16" s="17" t="e">
        <f ca="1"/>
        <v>#N/A</v>
      </c>
      <c r="C16" s="21" t="e">
        <f t="shared" ca="1" si="1"/>
        <v>#N/A</v>
      </c>
      <c r="D16" s="21" t="e">
        <f t="shared" ca="1" si="1"/>
        <v>#N/A</v>
      </c>
      <c r="E16" s="21" t="e">
        <f t="shared" ca="1" si="1"/>
        <v>#N/A</v>
      </c>
      <c r="F16" s="21" t="e">
        <f t="shared" ca="1" si="1"/>
        <v>#N/A</v>
      </c>
      <c r="G16" s="21" t="e">
        <f t="shared" ca="1" si="1"/>
        <v>#N/A</v>
      </c>
      <c r="H16" s="21" t="e">
        <f t="shared" ca="1" si="1"/>
        <v>#N/A</v>
      </c>
    </row>
    <row r="17" spans="2:8" ht="15" x14ac:dyDescent="0.25">
      <c r="B17" s="17" t="e">
        <f ca="1"/>
        <v>#N/A</v>
      </c>
      <c r="C17" s="21" t="e">
        <f t="shared" ca="1" si="1"/>
        <v>#N/A</v>
      </c>
      <c r="D17" s="21" t="e">
        <f t="shared" ca="1" si="1"/>
        <v>#N/A</v>
      </c>
      <c r="E17" s="21" t="e">
        <f t="shared" ca="1" si="1"/>
        <v>#N/A</v>
      </c>
      <c r="F17" s="21" t="e">
        <f t="shared" ca="1" si="1"/>
        <v>#N/A</v>
      </c>
      <c r="G17" s="21" t="e">
        <f t="shared" ca="1" si="1"/>
        <v>#N/A</v>
      </c>
      <c r="H17" s="21" t="e">
        <f t="shared" ca="1" si="1"/>
        <v>#N/A</v>
      </c>
    </row>
    <row r="18" spans="2:8" ht="15" x14ac:dyDescent="0.25">
      <c r="B18" s="17" t="e">
        <f ca="1"/>
        <v>#N/A</v>
      </c>
      <c r="C18" s="21" t="e">
        <f t="shared" ca="1" si="1"/>
        <v>#N/A</v>
      </c>
      <c r="D18" s="21" t="e">
        <f t="shared" ca="1" si="1"/>
        <v>#N/A</v>
      </c>
      <c r="E18" s="21" t="e">
        <f t="shared" ca="1" si="1"/>
        <v>#N/A</v>
      </c>
      <c r="F18" s="21" t="e">
        <f t="shared" ca="1" si="1"/>
        <v>#N/A</v>
      </c>
      <c r="G18" s="21" t="e">
        <f t="shared" ca="1" si="1"/>
        <v>#N/A</v>
      </c>
      <c r="H18" s="21" t="e">
        <f t="shared" ca="1" si="1"/>
        <v>#N/A</v>
      </c>
    </row>
    <row r="19" spans="2:8" ht="15" x14ac:dyDescent="0.25">
      <c r="B19" s="17" t="e">
        <f ca="1"/>
        <v>#N/A</v>
      </c>
      <c r="C19" s="21" t="e">
        <f t="shared" ca="1" si="1"/>
        <v>#N/A</v>
      </c>
      <c r="D19" s="21" t="e">
        <f t="shared" ca="1" si="1"/>
        <v>#N/A</v>
      </c>
      <c r="E19" s="21" t="e">
        <f t="shared" ca="1" si="1"/>
        <v>#N/A</v>
      </c>
      <c r="F19" s="21" t="e">
        <f t="shared" ca="1" si="1"/>
        <v>#N/A</v>
      </c>
      <c r="G19" s="21" t="e">
        <f t="shared" ca="1" si="1"/>
        <v>#N/A</v>
      </c>
      <c r="H19" s="21" t="e">
        <f t="shared" ca="1" si="1"/>
        <v>#N/A</v>
      </c>
    </row>
    <row r="20" spans="2:8" ht="15" x14ac:dyDescent="0.25">
      <c r="B20" s="17" t="e">
        <f ca="1"/>
        <v>#N/A</v>
      </c>
      <c r="C20" s="21" t="e">
        <f t="shared" ca="1" si="1"/>
        <v>#N/A</v>
      </c>
      <c r="D20" s="21" t="e">
        <f t="shared" ca="1" si="1"/>
        <v>#N/A</v>
      </c>
      <c r="E20" s="21" t="e">
        <f t="shared" ca="1" si="1"/>
        <v>#N/A</v>
      </c>
      <c r="F20" s="21" t="e">
        <f t="shared" ca="1" si="1"/>
        <v>#N/A</v>
      </c>
      <c r="G20" s="21" t="e">
        <f t="shared" ca="1" si="1"/>
        <v>#N/A</v>
      </c>
      <c r="H20" s="21" t="e">
        <f t="shared" ca="1" si="1"/>
        <v>#N/A</v>
      </c>
    </row>
    <row r="21" spans="2:8" ht="15" x14ac:dyDescent="0.25">
      <c r="B21" s="17" t="e">
        <f ca="1"/>
        <v>#N/A</v>
      </c>
      <c r="C21" s="21" t="e">
        <f t="shared" ca="1" si="1"/>
        <v>#N/A</v>
      </c>
      <c r="D21" s="21" t="e">
        <f t="shared" ca="1" si="1"/>
        <v>#N/A</v>
      </c>
      <c r="E21" s="21" t="e">
        <f t="shared" ca="1" si="1"/>
        <v>#N/A</v>
      </c>
      <c r="F21" s="21" t="e">
        <f t="shared" ca="1" si="1"/>
        <v>#N/A</v>
      </c>
      <c r="G21" s="21" t="e">
        <f t="shared" ca="1" si="1"/>
        <v>#N/A</v>
      </c>
      <c r="H21" s="21" t="e">
        <f t="shared" ca="1" si="1"/>
        <v>#N/A</v>
      </c>
    </row>
    <row r="22" spans="2:8" ht="15" x14ac:dyDescent="0.25">
      <c r="B22" s="17" t="e">
        <f ca="1"/>
        <v>#N/A</v>
      </c>
      <c r="C22" s="21" t="e">
        <f t="shared" ca="1" si="1"/>
        <v>#N/A</v>
      </c>
      <c r="D22" s="21" t="e">
        <f t="shared" ca="1" si="1"/>
        <v>#N/A</v>
      </c>
      <c r="E22" s="21" t="e">
        <f t="shared" ca="1" si="1"/>
        <v>#N/A</v>
      </c>
      <c r="F22" s="21" t="e">
        <f t="shared" ca="1" si="1"/>
        <v>#N/A</v>
      </c>
      <c r="G22" s="21" t="e">
        <f t="shared" ca="1" si="1"/>
        <v>#N/A</v>
      </c>
      <c r="H22" s="21" t="e">
        <f t="shared" ca="1" si="1"/>
        <v>#N/A</v>
      </c>
    </row>
    <row r="23" spans="2:8" x14ac:dyDescent="0.2">
      <c r="D23" s="8"/>
    </row>
    <row r="24" spans="2:8" hidden="1" x14ac:dyDescent="0.2">
      <c r="D24" s="8"/>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ists"/>
  <dimension ref="A1:N41"/>
  <sheetViews>
    <sheetView showGridLines="0" workbookViewId="0">
      <selection activeCell="I2" sqref="I2"/>
    </sheetView>
  </sheetViews>
  <sheetFormatPr defaultColWidth="0" defaultRowHeight="12.75" x14ac:dyDescent="0.2"/>
  <cols>
    <col min="1" max="1" width="14.42578125" style="43" bestFit="1" customWidth="1"/>
    <col min="2" max="2" width="18.140625" style="43" bestFit="1" customWidth="1"/>
    <col min="3" max="3" width="18.28515625" style="43" bestFit="1" customWidth="1"/>
    <col min="4" max="4" width="22.140625" style="43" bestFit="1" customWidth="1"/>
    <col min="5" max="5" width="18.140625" style="43" bestFit="1" customWidth="1"/>
    <col min="6" max="6" width="10.85546875" style="43" bestFit="1" customWidth="1"/>
    <col min="7" max="7" width="20" style="43" bestFit="1" customWidth="1"/>
    <col min="8" max="8" width="1" style="43" customWidth="1"/>
    <col min="9" max="9" width="11.85546875" style="43" bestFit="1" customWidth="1"/>
    <col min="10" max="10" width="14" style="43" bestFit="1" customWidth="1"/>
    <col min="11" max="11" width="7.85546875" style="43" bestFit="1" customWidth="1"/>
    <col min="12" max="12" width="15" style="43" bestFit="1" customWidth="1"/>
    <col min="13" max="13" width="20.140625" style="43" bestFit="1" customWidth="1"/>
    <col min="14" max="14" width="3" style="27" customWidth="1"/>
    <col min="15" max="16384" width="8.85546875" style="27" hidden="1"/>
  </cols>
  <sheetData>
    <row r="1" spans="1:13" s="41" customFormat="1" ht="15" x14ac:dyDescent="0.25">
      <c r="A1" s="40" t="s">
        <v>0</v>
      </c>
      <c r="B1" s="40" t="s">
        <v>14</v>
      </c>
      <c r="C1" s="40" t="s">
        <v>65</v>
      </c>
      <c r="D1" s="40" t="s">
        <v>15</v>
      </c>
      <c r="E1" s="40" t="s">
        <v>5</v>
      </c>
      <c r="F1" s="40" t="s">
        <v>16</v>
      </c>
      <c r="G1" s="40" t="s">
        <v>164</v>
      </c>
      <c r="H1" s="40"/>
      <c r="I1" s="40" t="s">
        <v>17</v>
      </c>
      <c r="J1" s="40" t="s">
        <v>63</v>
      </c>
      <c r="K1" s="40" t="s">
        <v>18</v>
      </c>
      <c r="L1" s="40" t="s">
        <v>19</v>
      </c>
      <c r="M1" s="40" t="s">
        <v>64</v>
      </c>
    </row>
    <row r="2" spans="1:13" x14ac:dyDescent="0.2">
      <c r="A2" s="42" t="s">
        <v>147</v>
      </c>
      <c r="B2" s="42" t="s">
        <v>188</v>
      </c>
      <c r="C2" s="42" t="s">
        <v>193</v>
      </c>
      <c r="D2" s="43" t="s">
        <v>8</v>
      </c>
      <c r="E2" s="43" t="s">
        <v>20</v>
      </c>
      <c r="F2" s="43" t="s">
        <v>21</v>
      </c>
      <c r="G2" s="43" t="s">
        <v>197</v>
      </c>
      <c r="I2" s="43" t="s">
        <v>11</v>
      </c>
      <c r="J2" s="42" t="s">
        <v>59</v>
      </c>
      <c r="K2" s="43">
        <v>1</v>
      </c>
      <c r="L2" s="43" t="s">
        <v>22</v>
      </c>
      <c r="M2" s="42" t="s">
        <v>55</v>
      </c>
    </row>
    <row r="3" spans="1:13" x14ac:dyDescent="0.2">
      <c r="A3" s="42" t="s">
        <v>40</v>
      </c>
      <c r="B3" s="42" t="s">
        <v>189</v>
      </c>
      <c r="C3" s="42" t="s">
        <v>192</v>
      </c>
      <c r="D3" s="43" t="s">
        <v>13</v>
      </c>
      <c r="E3" s="43" t="s">
        <v>28</v>
      </c>
      <c r="F3" s="43" t="s">
        <v>24</v>
      </c>
      <c r="G3" s="43" t="s">
        <v>196</v>
      </c>
      <c r="I3" s="43" t="s">
        <v>12</v>
      </c>
      <c r="J3" s="42" t="s">
        <v>60</v>
      </c>
      <c r="K3" s="43">
        <v>2</v>
      </c>
      <c r="L3" s="43" t="s">
        <v>30</v>
      </c>
      <c r="M3" s="42" t="s">
        <v>57</v>
      </c>
    </row>
    <row r="4" spans="1:13" x14ac:dyDescent="0.2">
      <c r="A4" s="43" t="s">
        <v>31</v>
      </c>
      <c r="B4" s="43" t="s">
        <v>27</v>
      </c>
      <c r="C4" s="42" t="s">
        <v>67</v>
      </c>
      <c r="D4" s="43" t="s">
        <v>33</v>
      </c>
      <c r="E4" s="43" t="s">
        <v>23</v>
      </c>
      <c r="G4" s="43" t="s">
        <v>249</v>
      </c>
      <c r="I4" s="43" t="s">
        <v>29</v>
      </c>
      <c r="J4" s="42" t="s">
        <v>62</v>
      </c>
      <c r="K4" s="43">
        <v>3</v>
      </c>
      <c r="L4" s="43" t="s">
        <v>25</v>
      </c>
      <c r="M4" s="42" t="s">
        <v>56</v>
      </c>
    </row>
    <row r="5" spans="1:13" x14ac:dyDescent="0.2">
      <c r="A5" s="43" t="s">
        <v>26</v>
      </c>
      <c r="B5" s="43" t="s">
        <v>32</v>
      </c>
      <c r="C5" s="42" t="s">
        <v>68</v>
      </c>
      <c r="D5" s="43" t="s">
        <v>7</v>
      </c>
      <c r="E5" s="43" t="s">
        <v>34</v>
      </c>
      <c r="K5" s="43">
        <v>4</v>
      </c>
      <c r="L5" s="43" t="s">
        <v>35</v>
      </c>
      <c r="M5" s="42" t="s">
        <v>58</v>
      </c>
    </row>
    <row r="6" spans="1:13" x14ac:dyDescent="0.2">
      <c r="A6" s="42" t="s">
        <v>43</v>
      </c>
      <c r="B6" s="43" t="s">
        <v>36</v>
      </c>
      <c r="C6" s="42" t="s">
        <v>191</v>
      </c>
      <c r="D6" s="43" t="s">
        <v>38</v>
      </c>
      <c r="E6" s="43" t="s">
        <v>37</v>
      </c>
      <c r="K6" s="43">
        <v>5</v>
      </c>
      <c r="L6" s="42" t="s">
        <v>133</v>
      </c>
      <c r="M6" s="42" t="s">
        <v>137</v>
      </c>
    </row>
    <row r="7" spans="1:13" x14ac:dyDescent="0.2">
      <c r="A7" s="42"/>
      <c r="B7" s="42" t="s">
        <v>20</v>
      </c>
      <c r="C7" s="42" t="s">
        <v>66</v>
      </c>
      <c r="D7" s="42" t="s">
        <v>9</v>
      </c>
      <c r="E7" s="43" t="s">
        <v>2</v>
      </c>
      <c r="K7" s="43">
        <v>6</v>
      </c>
      <c r="L7" s="42" t="s">
        <v>138</v>
      </c>
      <c r="M7" s="42" t="s">
        <v>69</v>
      </c>
    </row>
    <row r="8" spans="1:13" x14ac:dyDescent="0.2">
      <c r="B8" s="42" t="s">
        <v>190</v>
      </c>
      <c r="C8" s="42" t="s">
        <v>69</v>
      </c>
      <c r="D8" s="43" t="s">
        <v>6</v>
      </c>
      <c r="K8" s="43">
        <v>7</v>
      </c>
      <c r="L8" s="42" t="s">
        <v>170</v>
      </c>
      <c r="M8" s="42" t="s">
        <v>172</v>
      </c>
    </row>
    <row r="9" spans="1:13" x14ac:dyDescent="0.2">
      <c r="B9" s="43" t="s">
        <v>206</v>
      </c>
      <c r="D9" s="43" t="s">
        <v>10</v>
      </c>
      <c r="K9" s="43">
        <v>8</v>
      </c>
      <c r="L9" s="42" t="s">
        <v>175</v>
      </c>
      <c r="M9" s="42" t="s">
        <v>194</v>
      </c>
    </row>
    <row r="10" spans="1:13" x14ac:dyDescent="0.2">
      <c r="K10" s="43">
        <v>9</v>
      </c>
    </row>
    <row r="11" spans="1:13" x14ac:dyDescent="0.2">
      <c r="K11" s="43">
        <v>10</v>
      </c>
    </row>
    <row r="12" spans="1:13" x14ac:dyDescent="0.2">
      <c r="K12" s="43">
        <v>12</v>
      </c>
    </row>
    <row r="13" spans="1:13" x14ac:dyDescent="0.2">
      <c r="K13" s="43">
        <v>16</v>
      </c>
    </row>
    <row r="14" spans="1:13" x14ac:dyDescent="0.2">
      <c r="K14" s="43">
        <v>18</v>
      </c>
    </row>
    <row r="15" spans="1:13" x14ac:dyDescent="0.2">
      <c r="K15" s="43">
        <v>20</v>
      </c>
    </row>
    <row r="16" spans="1:13" x14ac:dyDescent="0.2">
      <c r="K16" s="43">
        <v>24</v>
      </c>
    </row>
    <row r="17" spans="11:11" x14ac:dyDescent="0.2">
      <c r="K17" s="43">
        <v>25</v>
      </c>
    </row>
    <row r="18" spans="11:11" x14ac:dyDescent="0.2">
      <c r="K18" s="43">
        <v>36</v>
      </c>
    </row>
    <row r="19" spans="11:11" x14ac:dyDescent="0.2">
      <c r="K19" s="43">
        <v>48</v>
      </c>
    </row>
    <row r="20" spans="11:11" x14ac:dyDescent="0.2">
      <c r="K20" s="43">
        <v>72</v>
      </c>
    </row>
    <row r="21" spans="11:11" x14ac:dyDescent="0.2">
      <c r="K21" s="43">
        <v>96</v>
      </c>
    </row>
    <row r="22" spans="11:11" x14ac:dyDescent="0.2">
      <c r="K22" s="43">
        <v>100</v>
      </c>
    </row>
    <row r="23" spans="11:11" x14ac:dyDescent="0.2">
      <c r="K23" s="43">
        <v>120</v>
      </c>
    </row>
    <row r="24" spans="11:11" x14ac:dyDescent="0.2">
      <c r="K24" s="43">
        <v>144</v>
      </c>
    </row>
    <row r="25" spans="11:11" x14ac:dyDescent="0.2">
      <c r="K25" s="43">
        <v>192</v>
      </c>
    </row>
    <row r="26" spans="11:11" x14ac:dyDescent="0.2">
      <c r="K26" s="43">
        <v>500</v>
      </c>
    </row>
    <row r="27" spans="11:11" x14ac:dyDescent="0.2">
      <c r="K27" s="43">
        <v>1000</v>
      </c>
    </row>
    <row r="28" spans="11:11" x14ac:dyDescent="0.2">
      <c r="K28" s="43">
        <v>1500</v>
      </c>
    </row>
    <row r="29" spans="11:11" x14ac:dyDescent="0.2">
      <c r="K29" s="43">
        <v>2000</v>
      </c>
    </row>
    <row r="30" spans="11:11" x14ac:dyDescent="0.2">
      <c r="K30" s="43">
        <v>3000</v>
      </c>
    </row>
    <row r="31" spans="11:11" x14ac:dyDescent="0.2">
      <c r="K31" s="43">
        <v>4000</v>
      </c>
    </row>
    <row r="32" spans="11:11" x14ac:dyDescent="0.2">
      <c r="K32" s="43">
        <v>5000</v>
      </c>
    </row>
    <row r="33" spans="11:11" x14ac:dyDescent="0.2">
      <c r="K33" s="43">
        <v>8000</v>
      </c>
    </row>
    <row r="34" spans="11:11" x14ac:dyDescent="0.2">
      <c r="K34" s="43">
        <v>10000</v>
      </c>
    </row>
    <row r="35" spans="11:11" x14ac:dyDescent="0.2">
      <c r="K35" s="43">
        <v>12000</v>
      </c>
    </row>
    <row r="36" spans="11:11" x14ac:dyDescent="0.2">
      <c r="K36" s="43">
        <v>16000</v>
      </c>
    </row>
    <row r="37" spans="11:11" x14ac:dyDescent="0.2">
      <c r="K37" s="43">
        <v>20000</v>
      </c>
    </row>
    <row r="38" spans="11:11" x14ac:dyDescent="0.2">
      <c r="K38" s="43">
        <v>24000</v>
      </c>
    </row>
    <row r="39" spans="11:11" x14ac:dyDescent="0.2">
      <c r="K39" s="43">
        <v>40000</v>
      </c>
    </row>
    <row r="40" spans="11:11" x14ac:dyDescent="0.2">
      <c r="K40" s="43">
        <v>48000</v>
      </c>
    </row>
    <row r="41" spans="11:11" x14ac:dyDescent="0.2">
      <c r="K41" s="43">
        <v>80000</v>
      </c>
    </row>
  </sheetData>
  <sortState ref="E2:E6">
    <sortCondition ref="E2"/>
  </sortState>
  <conditionalFormatting sqref="A1:M1048576">
    <cfRule type="expression" dxfId="0" priority="1">
      <formula>A1&lt;&gt;""</formula>
    </cfRule>
  </conditionalFormatting>
  <pageMargins left="0.7" right="0.7" top="0.75" bottom="0.75" header="0.3" footer="0.3"/>
  <pageSetup paperSize="9" orientation="portrait" horizontalDpi="360" verticalDpi="36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oolsAndMaterialsSummary"/>
  <dimension ref="A3:L10"/>
  <sheetViews>
    <sheetView showGridLines="0" workbookViewId="0">
      <selection activeCell="C5" sqref="C5"/>
    </sheetView>
  </sheetViews>
  <sheetFormatPr defaultRowHeight="12.75" x14ac:dyDescent="0.2"/>
  <cols>
    <col min="1" max="1" width="11" style="44" bestFit="1" customWidth="1"/>
    <col min="2" max="2" width="13.85546875" style="44" bestFit="1" customWidth="1"/>
    <col min="3" max="3" width="18.28515625" style="44" bestFit="1" customWidth="1"/>
    <col min="4" max="4" width="7.85546875" style="44" bestFit="1" customWidth="1"/>
    <col min="5" max="5" width="7.7109375" style="44" bestFit="1" customWidth="1"/>
    <col min="6" max="6" width="10.85546875" style="44" bestFit="1" customWidth="1"/>
    <col min="7" max="7" width="14.85546875" style="44" bestFit="1" customWidth="1"/>
    <col min="8" max="8" width="16.5703125" style="44" bestFit="1" customWidth="1"/>
    <col min="9" max="9" width="13.85546875" style="44" bestFit="1" customWidth="1"/>
    <col min="10" max="10" width="17" style="44" bestFit="1" customWidth="1"/>
    <col min="11" max="11" width="19.28515625" style="44" bestFit="1" customWidth="1"/>
    <col min="12" max="12" width="5" style="44" bestFit="1" customWidth="1"/>
    <col min="13" max="16384" width="9.140625" style="44"/>
  </cols>
  <sheetData>
    <row r="3" spans="1:12" x14ac:dyDescent="0.2">
      <c r="A3" s="4" t="s">
        <v>42</v>
      </c>
      <c r="B3"/>
      <c r="C3"/>
      <c r="D3"/>
      <c r="E3"/>
      <c r="F3"/>
      <c r="G3"/>
      <c r="H3"/>
      <c r="I3"/>
      <c r="J3"/>
      <c r="K3"/>
      <c r="L3"/>
    </row>
    <row r="4" spans="1:12" x14ac:dyDescent="0.2">
      <c r="A4" s="4" t="s">
        <v>18</v>
      </c>
      <c r="B4" s="4" t="s">
        <v>19</v>
      </c>
      <c r="C4" s="4" t="s">
        <v>39</v>
      </c>
      <c r="D4" s="4" t="s">
        <v>14</v>
      </c>
      <c r="E4" s="4" t="s">
        <v>72</v>
      </c>
      <c r="F4" s="4" t="s">
        <v>73</v>
      </c>
      <c r="G4" s="4" t="s">
        <v>74</v>
      </c>
      <c r="H4" s="4" t="s">
        <v>130</v>
      </c>
      <c r="I4" s="4" t="s">
        <v>131</v>
      </c>
      <c r="J4" s="4" t="s">
        <v>132</v>
      </c>
      <c r="K4" s="4" t="s">
        <v>198</v>
      </c>
      <c r="L4" t="s">
        <v>44</v>
      </c>
    </row>
    <row r="5" spans="1:12" x14ac:dyDescent="0.2">
      <c r="A5" s="44">
        <v>6</v>
      </c>
      <c r="B5" s="44" t="s">
        <v>30</v>
      </c>
      <c r="C5" s="44" t="s">
        <v>11</v>
      </c>
      <c r="D5" s="44" t="s">
        <v>189</v>
      </c>
      <c r="E5" s="1" t="s">
        <v>118</v>
      </c>
      <c r="F5" s="1" t="s">
        <v>118</v>
      </c>
      <c r="G5" s="1" t="s">
        <v>118</v>
      </c>
      <c r="H5" s="1" t="s">
        <v>118</v>
      </c>
      <c r="I5" s="1" t="s">
        <v>118</v>
      </c>
      <c r="J5" s="1" t="s">
        <v>118</v>
      </c>
      <c r="K5" s="44" t="s">
        <v>118</v>
      </c>
      <c r="L5" s="5">
        <v>12</v>
      </c>
    </row>
    <row r="6" spans="1:12" x14ac:dyDescent="0.2">
      <c r="A6"/>
      <c r="B6"/>
      <c r="C6"/>
      <c r="D6"/>
      <c r="E6" s="1"/>
      <c r="F6" s="1"/>
      <c r="G6" s="1"/>
      <c r="H6" s="1"/>
      <c r="I6" s="1"/>
      <c r="J6" s="1"/>
      <c r="K6" s="44" t="s">
        <v>327</v>
      </c>
      <c r="L6" s="5">
        <v>1</v>
      </c>
    </row>
    <row r="7" spans="1:12" ht="25.5" x14ac:dyDescent="0.2">
      <c r="A7"/>
      <c r="B7"/>
      <c r="C7"/>
      <c r="D7"/>
      <c r="E7" s="1"/>
      <c r="F7" s="1"/>
      <c r="G7" s="1"/>
      <c r="H7" s="1"/>
      <c r="I7" s="1"/>
      <c r="J7" s="1" t="s">
        <v>262</v>
      </c>
      <c r="K7" s="44" t="s">
        <v>118</v>
      </c>
      <c r="L7" s="5">
        <v>1</v>
      </c>
    </row>
    <row r="8" spans="1:12" x14ac:dyDescent="0.2">
      <c r="A8" s="44">
        <v>12</v>
      </c>
      <c r="B8" s="44" t="s">
        <v>30</v>
      </c>
      <c r="C8" s="44" t="s">
        <v>12</v>
      </c>
      <c r="D8" s="44" t="s">
        <v>189</v>
      </c>
      <c r="E8" s="1" t="s">
        <v>118</v>
      </c>
      <c r="F8" s="1" t="s">
        <v>118</v>
      </c>
      <c r="G8" s="1" t="s">
        <v>118</v>
      </c>
      <c r="H8" s="1" t="s">
        <v>118</v>
      </c>
      <c r="I8" s="1" t="s">
        <v>118</v>
      </c>
      <c r="J8" s="1" t="s">
        <v>118</v>
      </c>
      <c r="K8" s="44" t="s">
        <v>118</v>
      </c>
      <c r="L8" s="5">
        <v>1</v>
      </c>
    </row>
    <row r="9" spans="1:12" x14ac:dyDescent="0.2">
      <c r="A9"/>
      <c r="B9"/>
      <c r="C9"/>
      <c r="D9"/>
      <c r="E9" s="1"/>
      <c r="F9" s="1"/>
      <c r="G9" s="1"/>
      <c r="H9" s="1"/>
      <c r="I9" s="1"/>
      <c r="J9" s="1"/>
      <c r="K9" s="44" t="s">
        <v>327</v>
      </c>
      <c r="L9" s="5">
        <v>1</v>
      </c>
    </row>
    <row r="10" spans="1:12" ht="38.25" x14ac:dyDescent="0.2">
      <c r="A10"/>
      <c r="B10"/>
      <c r="C10"/>
      <c r="D10"/>
      <c r="E10" s="1" t="s">
        <v>283</v>
      </c>
      <c r="F10" s="1" t="s">
        <v>118</v>
      </c>
      <c r="G10" s="1" t="s">
        <v>118</v>
      </c>
      <c r="H10" s="1" t="s">
        <v>118</v>
      </c>
      <c r="I10" s="1" t="s">
        <v>118</v>
      </c>
      <c r="J10" s="1" t="s">
        <v>118</v>
      </c>
      <c r="K10" s="44" t="s">
        <v>118</v>
      </c>
      <c r="L10" s="5">
        <v>2</v>
      </c>
    </row>
  </sheetData>
  <pageMargins left="0.7" right="0.7" top="0.75" bottom="0.75" header="0.3" footer="0.3"/>
  <pageSetup paperSize="9" orientation="portrait" verticalDpi="0" r:id="rId2"/>
</worksheet>
</file>

<file path=customUI/customUI.xml><?xml version="1.0" encoding="utf-8"?>
<customUI xmlns="http://schemas.microsoft.com/office/2006/01/customui" onLoad="OnMainLoad">
  <ribbon>
    <tabs>
      <tab id="tabWinWriter" label="WORK INSTRUCTION WRITER" insertAfterMso="TabHome">
        <group id="grpOptions" label="Options">
          <button id="butSettings" label="Settings" size="large" onAction="OpenSettings" imageMso="AccessNavigationOptions"/>
        </group>
        <group id="grpFileManagement" label="File Management">
          <button id="butGenerateWordFiles" label="Generate Documents" size="large" onAction="GenerateWordDocument" imageMso="ExportWord"/>
        </group>
        <group id="grpTools" label="Tools">
          <button id="butInsertTaskPhoto" label="Insert Task Photo" size="large" onAction="InsertTaskPhoto" imageMso="PictureReflectionGallery"/>
          <button id="butInsertManualReference" label="Insert Manual Reference" size="large" onAction="InsertManualReference" imageMso="FunctionsLookupReferenceInsertGallery"/>
        </group>
      </tab>
    </tabs>
  </ribbon>
</customUI>
</file>

<file path=customUI/customUI14.xml><?xml version="1.0" encoding="utf-8"?>
<customUI xmlns="http://schemas.microsoft.com/office/2009/07/customui" onLoad="OnMainLoad">
  <ribbon>
    <tabs>
      <tab id="tabWinWriter" label="WORK INSTRUCTION WRITER" insertAfterMso="TabHome">
        <group id="grpOptions" label="Options">
          <button id="butSettings" label="Settings" size="large" onAction="OpenSettings" imageMso="AccessNavigationOptions"/>
        </group>
        <group id="grpFileManagement" label="File Management">
          <button id="butGenerateWordFiles" label="Generate Documents" size="large" onAction="GenerateWordDocument" imageMso="ExportWord"/>
        </group>
        <group id="grpTools" label="Tools">
          <button id="butInsertTaskPhoto" label="Insert Task Photo" size="large" onAction="InsertTaskPhoto" imageMso="PictureReflectionGallery"/>
          <button id="butInsertManualReference" label="Insert Manual Reference" size="large" onAction="InsertManualReference" imageMso="FunctionsLookupReferenceInsertGallery"/>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91</vt:i4>
      </vt:variant>
    </vt:vector>
  </HeadingPairs>
  <TitlesOfParts>
    <vt:vector size="99" baseType="lpstr">
      <vt:lpstr>shtDocumentControl</vt:lpstr>
      <vt:lpstr>Work Instructions</vt:lpstr>
      <vt:lpstr>Documents Summary</vt:lpstr>
      <vt:lpstr>Generated Files Log</vt:lpstr>
      <vt:lpstr>Front Page Contents</vt:lpstr>
      <vt:lpstr>Front Page Contents - AIM</vt:lpstr>
      <vt:lpstr>Lists</vt:lpstr>
      <vt:lpstr>Tools, Matls and Eq Summ</vt:lpstr>
      <vt:lpstr>AcceptableConditionsFieldName</vt:lpstr>
      <vt:lpstr>BundleAcceptableConditionsWithTask</vt:lpstr>
      <vt:lpstr>ColumnHeadersFieldName</vt:lpstr>
      <vt:lpstr>ComponentDescriptionFieldName</vt:lpstr>
      <vt:lpstr>ComponentNumberFieldName</vt:lpstr>
      <vt:lpstr>ComponentSummaryRangeName</vt:lpstr>
      <vt:lpstr>DefaultTableWidth</vt:lpstr>
      <vt:lpstr>DocumentAuthor</vt:lpstr>
      <vt:lpstr>DocumentConsecutiveStartingNumber</vt:lpstr>
      <vt:lpstr>DocumentNumberPrefix</vt:lpstr>
      <vt:lpstr>DocumentNumberSuffix</vt:lpstr>
      <vt:lpstr>DocumentTitle</vt:lpstr>
      <vt:lpstr>EquipmentName</vt:lpstr>
      <vt:lpstr>EquipmentNumber</vt:lpstr>
      <vt:lpstr>EquipmentPhoto</vt:lpstr>
      <vt:lpstr>EquipmentStatusFieldName</vt:lpstr>
      <vt:lpstr>EquipmentStatusOfflineWord</vt:lpstr>
      <vt:lpstr>EquipmentStatusOnlineWord</vt:lpstr>
      <vt:lpstr>EquipmentSummaryTableBookmarkName</vt:lpstr>
      <vt:lpstr>EquipmentSummaryTableHeader1</vt:lpstr>
      <vt:lpstr>EquipmentSummaryTableHeader2</vt:lpstr>
      <vt:lpstr>FolderToSaveFilesTo</vt:lpstr>
      <vt:lpstr>FunctionalLocationMarker</vt:lpstr>
      <vt:lpstr>ImageFolder</vt:lpstr>
      <vt:lpstr>IncludeComponentSummaryTable</vt:lpstr>
      <vt:lpstr>IncludeDescription</vt:lpstr>
      <vt:lpstr>IncludeNumberPrefix</vt:lpstr>
      <vt:lpstr>IncludeNumberSuffix</vt:lpstr>
      <vt:lpstr>InsertEquipmentNameMarker</vt:lpstr>
      <vt:lpstr>InsertEquipmentPhotoMarker</vt:lpstr>
      <vt:lpstr>InsertInstructionMarker</vt:lpstr>
      <vt:lpstr>InsertTaskNumberOption</vt:lpstr>
      <vt:lpstr>InTaskPhotoFieldName</vt:lpstr>
      <vt:lpstr>IntervalFieldName</vt:lpstr>
      <vt:lpstr>IntervalUnitsFieldName</vt:lpstr>
      <vt:lpstr>LogFileCreation</vt:lpstr>
      <vt:lpstr>ManualsFolder</vt:lpstr>
      <vt:lpstr>PhotoHeight</vt:lpstr>
      <vt:lpstr>PivotTableName</vt:lpstr>
      <vt:lpstr>PMBlankTableBlockName</vt:lpstr>
      <vt:lpstr>PMDocumentTitleBookmarkName</vt:lpstr>
      <vt:lpstr>PMEquipmentNumberBookmarkName</vt:lpstr>
      <vt:lpstr>PMEquipmentStatusBookmarkName</vt:lpstr>
      <vt:lpstr>PMEquipmentSummaryTableBlockName</vt:lpstr>
      <vt:lpstr>PMFrontPageAimBookmarkName</vt:lpstr>
      <vt:lpstr>PMFrontPageBlankBlockName</vt:lpstr>
      <vt:lpstr>PMFrontPageHazardsAndSafetyNotesBookmarkName</vt:lpstr>
      <vt:lpstr>PMFrontPageInstructionsBookmarkName</vt:lpstr>
      <vt:lpstr>PMFrontPageLocationBookmarkName</vt:lpstr>
      <vt:lpstr>PMFrontPageOtherSafetyEquipmentBookmarkName</vt:lpstr>
      <vt:lpstr>PMFrontPagePartsAndMaterialsBookmarkName</vt:lpstr>
      <vt:lpstr>PMFrontPagePermitsAndIsolationsBookmarkName</vt:lpstr>
      <vt:lpstr>PMFrontPagePhotoBookmarkName</vt:lpstr>
      <vt:lpstr>PMFrontPagePPEBookmarkName</vt:lpstr>
      <vt:lpstr>PMFrontPageReferencesBookmarkName</vt:lpstr>
      <vt:lpstr>PMFrontPageResourcesBookmarkName</vt:lpstr>
      <vt:lpstr>PMFrontPageSectionBookmarkName</vt:lpstr>
      <vt:lpstr>PMFrontPageSpecialNotesBookmarkName</vt:lpstr>
      <vt:lpstr>PMFrontPageToolsBookmarkName</vt:lpstr>
      <vt:lpstr>PMInstructionBlockName</vt:lpstr>
      <vt:lpstr>PMInstructionTasksOnlyBlockName</vt:lpstr>
      <vt:lpstr>PMIntervalBookmarkName</vt:lpstr>
      <vt:lpstr>PMIntervalUnitBookmarkName</vt:lpstr>
      <vt:lpstr>PMRESDAuthorBookmarkName</vt:lpstr>
      <vt:lpstr>PMSectionBookmarkName</vt:lpstr>
      <vt:lpstr>PMSiteOrAreaBookmarkName</vt:lpstr>
      <vt:lpstr>PMTemplateName</vt:lpstr>
      <vt:lpstr>PMTradeBookmarkName</vt:lpstr>
      <vt:lpstr>'Documents Summary'!Print_Titles</vt:lpstr>
      <vt:lpstr>'Work Instructions'!Print_Titles</vt:lpstr>
      <vt:lpstr>RESDAuthor</vt:lpstr>
      <vt:lpstr>rngAPP_NAME</vt:lpstr>
      <vt:lpstr>rngAPP_VERSION</vt:lpstr>
      <vt:lpstr>rngAUTHOR</vt:lpstr>
      <vt:lpstr>rngDATE_LAST_CHANGE</vt:lpstr>
      <vt:lpstr>rngDEBUG</vt:lpstr>
      <vt:lpstr>rngEMAIL</vt:lpstr>
      <vt:lpstr>RowHeadersFieldName</vt:lpstr>
      <vt:lpstr>ScreenUpdatingOption</vt:lpstr>
      <vt:lpstr>TaskFieldName</vt:lpstr>
      <vt:lpstr>TaskMaterialsFieldName</vt:lpstr>
      <vt:lpstr>TaskPhotoFieldName</vt:lpstr>
      <vt:lpstr>TaskPhotoHeight</vt:lpstr>
      <vt:lpstr>TaskSafetyWarningLabelFieldName</vt:lpstr>
      <vt:lpstr>TaskSpecialHazardsFieldName</vt:lpstr>
      <vt:lpstr>TaskSpecialNotesFieldName</vt:lpstr>
      <vt:lpstr>TaskSpecialPermitsFieldName</vt:lpstr>
      <vt:lpstr>TaskSpecialPPEFieldName</vt:lpstr>
      <vt:lpstr>TaskSpecialReferencesFieldName</vt:lpstr>
      <vt:lpstr>TaskToolsFieldName</vt:lpstr>
      <vt:lpstr>TradeFieldName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Work Instruction Writer</dc:title>
  <dc:creator>Carlos Gamez</dc:creator>
  <cp:lastModifiedBy>Carlos Gamez</cp:lastModifiedBy>
  <cp:lastPrinted>2012-07-04T03:47:00Z</cp:lastPrinted>
  <dcterms:created xsi:type="dcterms:W3CDTF">1998-08-20T21:56:16Z</dcterms:created>
  <dcterms:modified xsi:type="dcterms:W3CDTF">2018-01-28T13:06:46Z</dcterms:modified>
</cp:coreProperties>
</file>